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heet1" sheetId="1" state="visible" r:id="rId3"/>
    <sheet name="Mapping existing content to job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<sst xmlns="http://schemas.openxmlformats.org/spreadsheetml/2006/main" count="486" uniqueCount="451">
  <si>
    <t xml:space="preserve">Inventory of existing content
Usage:
- Use Donagh Brenan’s content inventory crawler script and create an inventory of your content and add it to this tab. 
- Ensure that each nested heading is entered on the row after the parent heading. This ensures that a clear hierarchy of the content is depicted.Refer to the 'Example: Inventory of exisitng content' tab to map the content as per heading levels.</t>
  </si>
  <si>
    <t xml:space="preserve">Splash page category</t>
  </si>
  <si>
    <t xml:space="preserve">Splash page title</t>
  </si>
  <si>
    <t xml:space="preserve">Chapter/Level 1</t>
  </si>
  <si>
    <t xml:space="preserve">Level 2</t>
  </si>
  <si>
    <t xml:space="preserve">Level 3</t>
  </si>
  <si>
    <t xml:space="preserve">Level 4</t>
  </si>
  <si>
    <t xml:space="preserve">Level 5</t>
  </si>
  <si>
    <t xml:space="preserve">Level 6</t>
  </si>
  <si>
    <t xml:space="preserve">Level 7</t>
  </si>
  <si>
    <t xml:space="preserve">Get started</t>
  </si>
  <si>
    <t xml:space="preserve">Release notes</t>
  </si>
  <si>
    <t xml:space="preserve">Highlights of what is new and what has changed with this OpenShift GitOps release</t>
  </si>
  <si>
    <t xml:space="preserve">Chapter 1. Red Hat OpenShift GitOps release notes</t>
  </si>
  <si>
    <t xml:space="preserve">1.1. Compatibility and support matrix</t>
  </si>
  <si>
    <t xml:space="preserve">1.1.1. Technology Preview features</t>
  </si>
  <si>
    <t xml:space="preserve">1.2. Release notes for Red Hat OpenShift GitOps 1.20.3</t>
  </si>
  <si>
    <t xml:space="preserve">1.2.1. Errata updates</t>
  </si>
  <si>
    <t xml:space="preserve">1.3. Release notes for Red Hat OpenShift GitOps 1.20.2</t>
  </si>
  <si>
    <t xml:space="preserve">1.3.1. Errata updates</t>
  </si>
  <si>
    <t xml:space="preserve">1.3.2. New features</t>
  </si>
  <si>
    <t xml:space="preserve">1.3.3. Fixed issues</t>
  </si>
  <si>
    <t xml:space="preserve">1.4. Release notes for Red Hat OpenShift GitOps 1.20.1</t>
  </si>
  <si>
    <t xml:space="preserve">1.4.1. Errata updates</t>
  </si>
  <si>
    <t xml:space="preserve">1.4.2. Fixed issues</t>
  </si>
  <si>
    <t xml:space="preserve">1.5. Release notes for Red Hat OpenShift GitOps 1.20.0</t>
  </si>
  <si>
    <t xml:space="preserve">1.5.1. Errata updates</t>
  </si>
  <si>
    <t xml:space="preserve">1.5.2. New features</t>
  </si>
  <si>
    <t xml:space="preserve">1.5.3. Fixed issues</t>
  </si>
  <si>
    <t xml:space="preserve">1.6. Additional resources</t>
  </si>
  <si>
    <t xml:space="preserve">Understanding OpenShift GitOps</t>
  </si>
  <si>
    <t xml:space="preserve">Introduction to OpenShift GitOps</t>
  </si>
  <si>
    <t xml:space="preserve">Chapter 1. What is GitOps?</t>
  </si>
  <si>
    <t xml:space="preserve">Chapter 2. About Red Hat OpenShift GitOps</t>
  </si>
  <si>
    <t xml:space="preserve">2.1. Key features</t>
  </si>
  <si>
    <t xml:space="preserve">2.2. Glossary of common terms for OpenShift GitOps</t>
  </si>
  <si>
    <t xml:space="preserve">2.3. Additional resources</t>
  </si>
  <si>
    <t xml:space="preserve">Chapter 3. Gathering diagnostic information for support</t>
  </si>
  <si>
    <t xml:space="preserve">3.1. About the must-gather tool</t>
  </si>
  <si>
    <t xml:space="preserve">3.2. Collecting debugging data for Red Hat OpenShift GitOps</t>
  </si>
  <si>
    <t xml:space="preserve">3.3. Additional resources</t>
  </si>
  <si>
    <t xml:space="preserve">Managing cluster configuration</t>
  </si>
  <si>
    <t xml:space="preserve">Managing OpenShift Container Platform cluster configuration</t>
  </si>
  <si>
    <t xml:space="preserve">Chapter 1. Managing OpenShift Container Platform cluster configuration</t>
  </si>
  <si>
    <t xml:space="preserve">1.1. Installing Red Hat OpenShift GitOps Operator using CLI</t>
  </si>
  <si>
    <t xml:space="preserve">1.2. Analyzing the default Argo CD instance details</t>
  </si>
  <si>
    <t xml:space="preserve">1.3. Access the default Argo CD instance</t>
  </si>
  <si>
    <t xml:space="preserve">1.4. Configuring the default Argo CD instance</t>
  </si>
  <si>
    <t xml:space="preserve">1.4.1. Configuring RBAC</t>
  </si>
  <si>
    <t xml:space="preserve">1.4.2. Configuring permissions</t>
  </si>
  <si>
    <t xml:space="preserve">1.5. Additional resources</t>
  </si>
  <si>
    <t xml:space="preserve">Install</t>
  </si>
  <si>
    <t xml:space="preserve">Installing GitOps</t>
  </si>
  <si>
    <t xml:space="preserve">Installing the OpenShift GitOps Operator, logging in to the Argo CD instance, and installing the GitOps CLI</t>
  </si>
  <si>
    <t xml:space="preserve">Chapter 1. Preparing to install Red Hat OpenShift GitOps</t>
  </si>
  <si>
    <t xml:space="preserve">1.1. Sizing requirements for GitOps</t>
  </si>
  <si>
    <t xml:space="preserve">1.1.1. Sizing requirements for Argo CD redis</t>
  </si>
  <si>
    <t xml:space="preserve">Chapter 2. Installing Red Hat OpenShift GitOps</t>
  </si>
  <si>
    <t xml:space="preserve">2.1. Prerequisites</t>
  </si>
  <si>
    <t xml:space="preserve">2.2. Installing Red Hat OpenShift GitOps Operator in web console</t>
  </si>
  <si>
    <t xml:space="preserve">2.3. Installing Red Hat OpenShift GitOps Operator using CLI</t>
  </si>
  <si>
    <t xml:space="preserve">2.4. Logging in to the Argo CD instance by using the Argo CD admin account</t>
  </si>
  <si>
    <t xml:space="preserve">2.5. Additional resources</t>
  </si>
  <si>
    <t xml:space="preserve">Chapter 3. Installing the GitOps CLI</t>
  </si>
  <si>
    <t xml:space="preserve">3.1. Installing the Red Hat OpenShift GitOps CLI on Linux</t>
  </si>
  <si>
    <t xml:space="preserve">3.2. Installing the Red Hat OpenShift GitOps CLI on Linux using an RPM</t>
  </si>
  <si>
    <t xml:space="preserve">3.3. Installing the Red Hat OpenShift GitOps CLI on Windows</t>
  </si>
  <si>
    <t xml:space="preserve">3.4. Installing the Red Hat OpenShift GitOps CLI on macOS</t>
  </si>
  <si>
    <t xml:space="preserve">3.5. Additional resources</t>
  </si>
  <si>
    <t xml:space="preserve">Removing GitOps</t>
  </si>
  <si>
    <t xml:space="preserve">Removing OpenShift GitOps Operator from your cluster</t>
  </si>
  <si>
    <t xml:space="preserve">Chapter 1. Uninstalling Red Hat OpenShift GitOps</t>
  </si>
  <si>
    <t xml:space="preserve">1.1. Deleting the Argo CD instances</t>
  </si>
  <si>
    <t xml:space="preserve">1.2. Uninstalling the GitOps Operator</t>
  </si>
  <si>
    <t xml:space="preserve">Set up</t>
  </si>
  <si>
    <t xml:space="preserve">Argo CD instance</t>
  </si>
  <si>
    <t xml:space="preserve">Installing and deploying Argo CD instances, enabling notifications with an Argo CD instance, and configuring the NotificationsConfiguration CR</t>
  </si>
  <si>
    <t xml:space="preserve">Chapter 1. Setting up an Argo CD instance</t>
  </si>
  <si>
    <t xml:space="preserve">1.1. Installing a user-defined Argo CD instance</t>
  </si>
  <si>
    <t xml:space="preserve">1.2. Configuring common cluster roles by specifying user-defined cluster roles for namespace-scoped instances</t>
  </si>
  <si>
    <t xml:space="preserve">1.3. Enabling replicas for Argo CD server and repo server</t>
  </si>
  <si>
    <t xml:space="preserve">1.4. Deploying resources to a different namespace</t>
  </si>
  <si>
    <t xml:space="preserve">1.5. Customizing the Argo CD console link</t>
  </si>
  <si>
    <t xml:space="preserve">1.6. Configuring ImagePullPolicy</t>
  </si>
  <si>
    <t xml:space="preserve">Chapter 2. Argo CD custom resource and component properties</t>
  </si>
  <si>
    <t xml:space="preserve">2.1. Argo CD custom resource properties</t>
  </si>
  <si>
    <t xml:space="preserve">2.2. Repo server properties</t>
  </si>
  <si>
    <t xml:space="preserve">2.2.1. Configure TLS trust for the repo server</t>
  </si>
  <si>
    <t xml:space="preserve">2.3. Enabling notifications with an Argo CD instance</t>
  </si>
  <si>
    <t xml:space="preserve">2.4. Enabling Config Management Plugins in an Argo CD CR</t>
  </si>
  <si>
    <t xml:space="preserve">2.5. NotificationsConfiguration custom resource properties</t>
  </si>
  <si>
    <t xml:space="preserve">2.5.1. Configuring the NotificationsConfiguration CR by using the web console</t>
  </si>
  <si>
    <t xml:space="preserve">2.5.2. Configuring the NotificationsConfiguration CR by using the CLI</t>
  </si>
  <si>
    <t xml:space="preserve">2.6. Configuring notifications in any Namespace</t>
  </si>
  <si>
    <t xml:space="preserve">2.6.1. Understanding configuration notifications behavior across namespaces</t>
  </si>
  <si>
    <t xml:space="preserve">2.7. Enabling annotation-based resource tracking in Argo CD</t>
  </si>
  <si>
    <t xml:space="preserve">2.7.1. Configuring annotation-based tracking in multiple Argo CD instances</t>
  </si>
  <si>
    <t xml:space="preserve">2.8. Additional resources</t>
  </si>
  <si>
    <t xml:space="preserve">Access control and user management</t>
  </si>
  <si>
    <t xml:space="preserve">Configuring user authentication and access controls for users and namespaces</t>
  </si>
  <si>
    <t xml:space="preserve">Chapter 1. Configuring Argo CD RBAC</t>
  </si>
  <si>
    <t xml:space="preserve">1.1. Configuring user level access</t>
  </si>
  <si>
    <t xml:space="preserve">Chapter 2. Configuring SSO for Argo CD using Dex</t>
  </si>
  <si>
    <t xml:space="preserve">2.1. Configuration to enable the Dex OpenShift OAuth Connector</t>
  </si>
  <si>
    <t xml:space="preserve">2.1.1. Mapping users to specific roles</t>
  </si>
  <si>
    <t xml:space="preserve">2.2. Disabling Dex by replacing .spec.sso</t>
  </si>
  <si>
    <t xml:space="preserve">Chapter 3. Configuring SSO for Argo CD using external OIDC providers</t>
  </si>
  <si>
    <t xml:space="preserve">3.1. Understanding OIDC integration approaches for Argo CD</t>
  </si>
  <si>
    <t xml:space="preserve">3.2. Prerequisites</t>
  </si>
  <si>
    <t xml:space="preserve">3.3. Configuring direct OIDC integration for Argo CD</t>
  </si>
  <si>
    <t xml:space="preserve">3.4. Verifying OIDC login for Argo CD</t>
  </si>
  <si>
    <t xml:space="preserve">Chapter 4. Managing local users in Argo CD</t>
  </si>
  <si>
    <t xml:space="preserve">4.1. About local user management in Argo CD</t>
  </si>
  <si>
    <t xml:space="preserve">4.2. Local user configuration in Argo CD</t>
  </si>
  <si>
    <t xml:space="preserve">4.3. Example local user configuration in Argo CD</t>
  </si>
  <si>
    <t xml:space="preserve">4.4. Token storage and access</t>
  </si>
  <si>
    <t xml:space="preserve">4.5. Token lifecycle management</t>
  </si>
  <si>
    <t xml:space="preserve">4.6. User lifecycle management</t>
  </si>
  <si>
    <t xml:space="preserve">4.7. Integration with legacy configuration</t>
  </si>
  <si>
    <t xml:space="preserve">4.8. Creating local users in Argo CD</t>
  </si>
  <si>
    <t xml:space="preserve">Managing resource use</t>
  </si>
  <si>
    <t xml:space="preserve">Configuring resource requests and limits for Argo CD workloads</t>
  </si>
  <si>
    <t xml:space="preserve">Chapter 1. Configuring resource quota or requests</t>
  </si>
  <si>
    <t xml:space="preserve">1.1. Configuring workloads with resource requests and limits</t>
  </si>
  <si>
    <t xml:space="preserve">1.2. Patching Argo CD instance to update the resource requirements</t>
  </si>
  <si>
    <t xml:space="preserve">1.3. Removing resource requests</t>
  </si>
  <si>
    <t xml:space="preserve">Chapter 2. Configure resource requests and limits for GitOps plugin components</t>
  </si>
  <si>
    <t xml:space="preserve">2.1. Enabling the GitOpsService custom resource</t>
  </si>
  <si>
    <t xml:space="preserve">2.2. Behavior of resource configuration</t>
  </si>
  <si>
    <t xml:space="preserve">Argo CD applications</t>
  </si>
  <si>
    <t xml:space="preserve">Creating and deploying applications on the OpenShift cluster by using the Argo CD dashboard, oc tool, or GitOps CLI</t>
  </si>
  <si>
    <t xml:space="preserve">Chapter 1. Deploying a Spring Boot application with Argo CD</t>
  </si>
  <si>
    <t xml:space="preserve">1.1. Creating an application by using the Argo CD dashboard</t>
  </si>
  <si>
    <t xml:space="preserve">1.2. Creating an application by using the oc tool</t>
  </si>
  <si>
    <t xml:space="preserve">1.3. Verifying Argo CD self-healing behavior</t>
  </si>
  <si>
    <t xml:space="preserve">Chapter 2. Creating an application by using the GitOps CLI</t>
  </si>
  <si>
    <t xml:space="preserve">2.1. Creating an application in the default mode by using the GitOps CLI</t>
  </si>
  <si>
    <t xml:space="preserve">2.2. Creating an application in core mode by using the GitOps CLI</t>
  </si>
  <si>
    <t xml:space="preserve">Chapter 3. Managing the application resources in non-control plane namespaces</t>
  </si>
  <si>
    <t xml:space="preserve">3.1. Prerequisites</t>
  </si>
  <si>
    <t xml:space="preserve">3.2. Configuring the Argo CD CR of your user-defined cluster-scoped Argo CD instance with the target namespaces</t>
  </si>
  <si>
    <t xml:space="preserve">3.3. Creating and configuring a user-defined AppProject instance with the target namespaces</t>
  </si>
  <si>
    <t xml:space="preserve">3.4. Creating and configuring the Application CR to reference the target namespace and user-defined AppProject instance</t>
  </si>
  <si>
    <t xml:space="preserve">Chapter 4. Managing application links with the managed-by-url annotation</t>
  </si>
  <si>
    <t xml:space="preserve">4.1. Overview of the managed-by-url annotation</t>
  </si>
  <si>
    <t xml:space="preserve">4.2. Configuring the managed-by-url annotation</t>
  </si>
  <si>
    <t xml:space="preserve">4.3. Managed-by-url annotation reference</t>
  </si>
  <si>
    <t xml:space="preserve">4.4. Troubleshooting the managed-by-url annotation</t>
  </si>
  <si>
    <t xml:space="preserve">4.5. Additional resources</t>
  </si>
  <si>
    <t xml:space="preserve">Argo CD application sets</t>
  </si>
  <si>
    <t xml:space="preserve">Managing the application set resources in non-control plane namespaces</t>
  </si>
  <si>
    <t xml:space="preserve">Chapter 1. Managing the application set resources in non-control plane namespaces</t>
  </si>
  <si>
    <t xml:space="preserve">1.1. Prerequisites</t>
  </si>
  <si>
    <t xml:space="preserve">1.2. Enabling the application set resources in non-control plane namespaces</t>
  </si>
  <si>
    <t xml:space="preserve">1.3. About configuring ApplicationSet namespaces using names and patterns</t>
  </si>
  <si>
    <t xml:space="preserve">1.3.1. Enable ApplicationSet in a specific namespace</t>
  </si>
  <si>
    <t xml:space="preserve">1.3.2. Define glob-style in wildcard patterns</t>
  </si>
  <si>
    <t xml:space="preserve">1.3.3. Define regular expressions in patterns</t>
  </si>
  <si>
    <t xml:space="preserve">1.4. Allowing Source Code Manager Providers</t>
  </si>
  <si>
    <t xml:space="preserve">Chapter 2. Using Progressive Sync in OpenShift GitOps</t>
  </si>
  <si>
    <t xml:space="preserve">2.1. Overview of enabling Progressive Sync</t>
  </si>
  <si>
    <t xml:space="preserve">2.2. Prerequisites</t>
  </si>
  <si>
    <t xml:space="preserve">2.3. Enabling Progressive Sync</t>
  </si>
  <si>
    <t xml:space="preserve">2.3.1. Adding the extraCommandArgs argument to the Argo CD CR</t>
  </si>
  <si>
    <t xml:space="preserve">2.3.2. Setting the env environment variable in the Argo CD CR</t>
  </si>
  <si>
    <t xml:space="preserve">2.4. Understanding ApplicationSet strategies</t>
  </si>
  <si>
    <t xml:space="preserve">2.5. Understanding creation strategies</t>
  </si>
  <si>
    <t xml:space="preserve">2.5.1. Configuring AllAtOnce creation strategy</t>
  </si>
  <si>
    <t xml:space="preserve">2.5.2. Example: AllAtOnce creation strategy for simultaneous deployment</t>
  </si>
  <si>
    <t xml:space="preserve">2.5.3. Configuring RollingSync strategy</t>
  </si>
  <si>
    <t xml:space="preserve">2.5.4. Example: Progressive sync with environment labels</t>
  </si>
  <si>
    <t xml:space="preserve">2.6. Understanding deletion strategies</t>
  </si>
  <si>
    <t xml:space="preserve">2.6.1. Configuring AllAtOnce deletion strategy</t>
  </si>
  <si>
    <t xml:space="preserve">2.6.2. Example: AllAtOnce deletion strategy for multi-cluster deployments</t>
  </si>
  <si>
    <t xml:space="preserve">2.6.3. Configuring ApplicationSet reverse deletion order</t>
  </si>
  <si>
    <t xml:space="preserve">2.6.4. Example: Reverse deletion order with dependent services</t>
  </si>
  <si>
    <t xml:space="preserve">2.7. Troubleshooting Progressive Sync</t>
  </si>
  <si>
    <t xml:space="preserve">2.7.1. Troubleshooting when Progressive Sync section does not appear</t>
  </si>
  <si>
    <t xml:space="preserve">2.7.2. Troubleshooting when application shows Unknown state</t>
  </si>
  <si>
    <t xml:space="preserve">Multitenancy</t>
  </si>
  <si>
    <t xml:space="preserve">Understanding multitenancy support in GitOps</t>
  </si>
  <si>
    <t xml:space="preserve">Chapter 1. Multitenancy support in GitOps</t>
  </si>
  <si>
    <t xml:space="preserve">1.1. Argo CD instance scopes</t>
  </si>
  <si>
    <t xml:space="preserve">1.1.1. Namespace-scoped instance (Application delivery instance)</t>
  </si>
  <si>
    <t xml:space="preserve">1.1.2. Cluster-scoped instance</t>
  </si>
  <si>
    <t xml:space="preserve">1.1.3. Default cluster-scoped instance</t>
  </si>
  <si>
    <t xml:space="preserve">1.2. Important considerations when adopting the multitenancy model</t>
  </si>
  <si>
    <t xml:space="preserve">1.2.1. Argo CD role-based access control (RBAC)</t>
  </si>
  <si>
    <t xml:space="preserve">1.2.2. Argo CD projects</t>
  </si>
  <si>
    <t xml:space="preserve">1.3. Enable tenant namespace management with the NamespaceManagement CR</t>
  </si>
  <si>
    <t xml:space="preserve">1.3.1. Configuring namespace management for Argo CD tenants</t>
  </si>
  <si>
    <t xml:space="preserve">1.4. Additional resources</t>
  </si>
  <si>
    <t xml:space="preserve">Declarative cluster configuration</t>
  </si>
  <si>
    <t xml:space="preserve">Configuring an OpenShift cluster with cluster configurations by using OpenShift GitOps and creating and synchronizing applications in the default and code mode by using the GitOps CLI</t>
  </si>
  <si>
    <t xml:space="preserve">Chapter 1. Configuring an OpenShift cluster by deploying an application with cluster configurations</t>
  </si>
  <si>
    <t xml:space="preserve">1.2. Using an Argo CD instance to manage cluster-scoped resources</t>
  </si>
  <si>
    <t xml:space="preserve">1.3. Default permissions of an Argo CD instance</t>
  </si>
  <si>
    <t xml:space="preserve">1.4. Running the Argo CD instance at the cluster-level</t>
  </si>
  <si>
    <t xml:space="preserve">1.5. Creating an application by using the Argo CD dashboard</t>
  </si>
  <si>
    <t xml:space="preserve">1.6. Creating an application by using the oc tool</t>
  </si>
  <si>
    <t xml:space="preserve">1.7. Creating an application in the default mode by using the GitOps CLI</t>
  </si>
  <si>
    <t xml:space="preserve">1.8. Creating an application in core mode by using the GitOps CLI</t>
  </si>
  <si>
    <t xml:space="preserve">1.9. Synchronizing your application with your Git repository</t>
  </si>
  <si>
    <t xml:space="preserve">1.10. Synchronizing an application in the default mode by using the GitOps CLI</t>
  </si>
  <si>
    <t xml:space="preserve">1.11. Synchronizing an application in core mode by using the GitOps CLI</t>
  </si>
  <si>
    <t xml:space="preserve">1.12. In-built permissions for cluster configuration</t>
  </si>
  <si>
    <t xml:space="preserve">1.13. Adding permissions for cluster configuration</t>
  </si>
  <si>
    <t xml:space="preserve">1.14. Installing OLM Operators using Red Hat OpenShift GitOps</t>
  </si>
  <si>
    <t xml:space="preserve">1.14.1. Installing cluster-scoped Operators</t>
  </si>
  <si>
    <t xml:space="preserve">1.14.2. Installing namepace-scoped Operators</t>
  </si>
  <si>
    <t xml:space="preserve">1.15. Configuring respectRBAC using Red Hat OpenShift GitOps</t>
  </si>
  <si>
    <t xml:space="preserve">1.15.1. Configuring respectRBAC using the CLI</t>
  </si>
  <si>
    <t xml:space="preserve">1.15.2. Configuring respectRBAC by using the web console</t>
  </si>
  <si>
    <t xml:space="preserve">1.16. Additional resources</t>
  </si>
  <si>
    <t xml:space="preserve">Chapter 2. Customizing permissions by creating user-defined cluster roles for cluster-scoped instances</t>
  </si>
  <si>
    <t xml:space="preserve">2.2. Disabling the creation of the default cluster roles for the cluster-scoped instance</t>
  </si>
  <si>
    <t xml:space="preserve">2.3. Customizing permissions for cluster-scoped instances</t>
  </si>
  <si>
    <t xml:space="preserve">2.4. Additional resources</t>
  </si>
  <si>
    <t xml:space="preserve">Chapter 3. Customizing permissions by creating aggregated cluster roles</t>
  </si>
  <si>
    <t xml:space="preserve">3.1. Aggregated cluster roles</t>
  </si>
  <si>
    <t xml:space="preserve">3.3. Creating aggregated cluster roles</t>
  </si>
  <si>
    <t xml:space="preserve">3.3.1. Enable the creation of aggregated cluster roles</t>
  </si>
  <si>
    <t xml:space="preserve">3.3.2. Create user-defined cluster roles and configure user-defined permissions</t>
  </si>
  <si>
    <t xml:space="preserve">3.4. Enabling the creation of aggregated cluster roles</t>
  </si>
  <si>
    <t xml:space="preserve">3.5. Creating user-defined cluster roles and configuring user-defined permissions for Application Controller</t>
  </si>
  <si>
    <t xml:space="preserve">3.6. Additional resources</t>
  </si>
  <si>
    <t xml:space="preserve">Chapter 4. Sharding clusters across Argo CD Application Controller replicas</t>
  </si>
  <si>
    <t xml:space="preserve">4.1. Enabling the round-robin sharding algorithm</t>
  </si>
  <si>
    <t xml:space="preserve">4.1.1. Enabling the round-robin sharding algorithm in the web console</t>
  </si>
  <si>
    <t xml:space="preserve">4.1.2. Enabling the round-robin sharding algorithm by using the CLI</t>
  </si>
  <si>
    <t xml:space="preserve">4.2. Enabling dynamic scaling of shards of the Argo CD Application Controller</t>
  </si>
  <si>
    <t xml:space="preserve">4.2.1. Enabling dynamic scaling of shards in the web console</t>
  </si>
  <si>
    <t xml:space="preserve">4.2.2. Enabling dynamic scaling of shards by using the CLI</t>
  </si>
  <si>
    <t xml:space="preserve">Argo CD Agent architecture</t>
  </si>
  <si>
    <t xml:space="preserve">Describes the architecture and terminology used in the Argo CD Agent, detailing how agent-based GitOps communication and synchronization works between the control plane and workload clusters.</t>
  </si>
  <si>
    <t xml:space="preserve">Chapter 1. Argo CD Agent architecture overview</t>
  </si>
  <si>
    <t xml:space="preserve">1.1. Introduction to the Argo CD Agent architecture</t>
  </si>
  <si>
    <t xml:space="preserve">1.2. Architecture and Terminology</t>
  </si>
  <si>
    <t xml:space="preserve">1.3. Comparing Argo CD Agent with traditional Argo CD architecture</t>
  </si>
  <si>
    <t xml:space="preserve">1.4. Synchronization mechanism between the control plane and workload clusters</t>
  </si>
  <si>
    <t xml:space="preserve">1.5. Argo CD Agent modes</t>
  </si>
  <si>
    <t xml:space="preserve">1.5.1. Argo CD Agent Managed mode</t>
  </si>
  <si>
    <t xml:space="preserve">1.5.2. Argo CD Agent Autonomous mode</t>
  </si>
  <si>
    <t xml:space="preserve">1.6. Security and Authentication</t>
  </si>
  <si>
    <t xml:space="preserve">1.7. Application Management Across Namespaces</t>
  </si>
  <si>
    <t xml:space="preserve">1.8. Known Limitations</t>
  </si>
  <si>
    <t xml:space="preserve">1.9. Additional resources</t>
  </si>
  <si>
    <t xml:space="preserve">Argo CD Agent installation</t>
  </si>
  <si>
    <t xml:space="preserve">Installing and deploying the Argo CD Agent, enabling the Argo CD Agent in different modes by using a helm chart.</t>
  </si>
  <si>
    <t xml:space="preserve">Chapter 1. Installing Argo CD Agent</t>
  </si>
  <si>
    <t xml:space="preserve">1.2. Argo CD Agent Terminologies</t>
  </si>
  <si>
    <t xml:space="preserve">1.3. Installing the Principal component</t>
  </si>
  <si>
    <t xml:space="preserve">1.4. Setting up a spoke cluster environment</t>
  </si>
  <si>
    <t xml:space="preserve">1.5. Installing the Argo CD Agent by using a Helm chart</t>
  </si>
  <si>
    <t xml:space="preserve">1.5.1. Deploying an Argo CD instance on the Agent cluster</t>
  </si>
  <si>
    <t xml:space="preserve">1.5.2. Installing the Argo CD Agent in managed mode by using a Helm chart</t>
  </si>
  <si>
    <t xml:space="preserve">1.5.3. Installing the Argo CD Agent in autonomous mode by using a Helm chart</t>
  </si>
  <si>
    <t xml:space="preserve">1.6. Installing the Argo CD Agent by using an Argo CD custom resource</t>
  </si>
  <si>
    <t xml:space="preserve">1.7. Verifying the Argo CD Agent installation in Managed Mode or Autonomous Mode</t>
  </si>
  <si>
    <t xml:space="preserve">1.8. Deploying Argo CD applications</t>
  </si>
  <si>
    <t xml:space="preserve">1.8.1. Deploying an Argo CD application in managed mode</t>
  </si>
  <si>
    <t xml:space="preserve">1.8.2. Deploying an Argo CD application in autonomous mode</t>
  </si>
  <si>
    <t xml:space="preserve">1.9. Troubleshooting Principal-Agent communication and deployment issues</t>
  </si>
  <si>
    <t xml:space="preserve">1.10. Additional resources</t>
  </si>
  <si>
    <t xml:space="preserve">Progressive delivery</t>
  </si>
  <si>
    <t xml:space="preserve">Argo Rollouts</t>
  </si>
  <si>
    <t xml:space="preserve">Using Argo Rollouts for progressive delivery</t>
  </si>
  <si>
    <t xml:space="preserve">Chapter 1. Argo Rollouts overview</t>
  </si>
  <si>
    <t xml:space="preserve">1.1. Why use Argo Rollouts?</t>
  </si>
  <si>
    <t xml:space="preserve">1.1.1. Benefits of Argo Rollouts</t>
  </si>
  <si>
    <t xml:space="preserve">1.2. About RolloutManager custom resources and specification</t>
  </si>
  <si>
    <t xml:space="preserve">1.2.1. Argo Rollouts controller</t>
  </si>
  <si>
    <t xml:space="preserve">1.3. Argo Rollouts architecture overview</t>
  </si>
  <si>
    <t xml:space="preserve">1.3.1. Argo Rollouts components</t>
  </si>
  <si>
    <t xml:space="preserve">1.3.2. Argo Rollouts resources</t>
  </si>
  <si>
    <t xml:space="preserve">1.4. Argo Rollouts CLI overview</t>
  </si>
  <si>
    <t xml:space="preserve">Chapter 2. Using Argo Rollouts for progressive deployment delivery</t>
  </si>
  <si>
    <t xml:space="preserve">2.2. Creating a RolloutManager custom resource</t>
  </si>
  <si>
    <t xml:space="preserve">2.3. Deleting a RolloutManager custom resource</t>
  </si>
  <si>
    <t xml:space="preserve">2.4. Installing Argo Rollouts CLI on Linux</t>
  </si>
  <si>
    <t xml:space="preserve">2.5. Installing Argo Rollouts CLI on Mac OS</t>
  </si>
  <si>
    <t xml:space="preserve">2.6. Enabling Argo Rollouts UI on an Argo CD instance</t>
  </si>
  <si>
    <t xml:space="preserve">2.7. Additional resources</t>
  </si>
  <si>
    <t xml:space="preserve">Chapter 3. Getting started with Argo Rollouts</t>
  </si>
  <si>
    <t xml:space="preserve">3.2. Deploying a rollout</t>
  </si>
  <si>
    <t xml:space="preserve">3.3. Updating the rollout</t>
  </si>
  <si>
    <t xml:space="preserve">3.4. Promoting the rollout</t>
  </si>
  <si>
    <t xml:space="preserve">3.5. Manually aborting the rollout</t>
  </si>
  <si>
    <t xml:space="preserve">Chapter 4. Routing traffic by using Argo Rollouts</t>
  </si>
  <si>
    <t xml:space="preserve">4.1. Prerequisites</t>
  </si>
  <si>
    <t xml:space="preserve">4.2. Configuring Argo Rollouts to route traffic by using OpenShift Routes</t>
  </si>
  <si>
    <t xml:space="preserve">4.3. Additional resources</t>
  </si>
  <si>
    <t xml:space="preserve">Chapter 5. Routing traffic by using Argo Rollouts for OpenShift Service Mesh</t>
  </si>
  <si>
    <t xml:space="preserve">Sample deployment scenario</t>
  </si>
  <si>
    <t xml:space="preserve">5.1. Configuring Argo Rollouts to route traffic by using OpenShift Service Mesh</t>
  </si>
  <si>
    <t xml:space="preserve">Chapter 6. Enabling support for a namespace-scoped Argo Rollouts installation</t>
  </si>
  <si>
    <t xml:space="preserve">6.1. Configuring a namespace-scoped Argo Rollouts installation</t>
  </si>
  <si>
    <t xml:space="preserve">Chapter 7. Configuring traffic management and metric plugins in Argo Rollouts</t>
  </si>
  <si>
    <t xml:space="preserve">7.1. Prerequisites</t>
  </si>
  <si>
    <t xml:space="preserve">7.2. Enabling traffic management and metric plugins in Argo Rollouts</t>
  </si>
  <si>
    <t xml:space="preserve">7.3. Additional resources</t>
  </si>
  <si>
    <t xml:space="preserve">Chapter 8. Enabling high availability support for Argo Rollouts</t>
  </si>
  <si>
    <t xml:space="preserve">8.1. Configuring high availability for Argo Rollouts</t>
  </si>
  <si>
    <t xml:space="preserve">Chapter 9. Using a cluster-scoped Argo Rollouts instance to manage rollout resources</t>
  </si>
  <si>
    <t xml:space="preserve">9.1. Prerequisites</t>
  </si>
  <si>
    <t xml:space="preserve">9.2. Configuring a cluster-scoped Argo Rollouts instance to manage rollout resources</t>
  </si>
  <si>
    <t xml:space="preserve">9.3. Additional resources</t>
  </si>
  <si>
    <t xml:space="preserve">Security</t>
  </si>
  <si>
    <t xml:space="preserve">Using security features to configure secure communication and protect the possibly sensitive data in transit</t>
  </si>
  <si>
    <t xml:space="preserve">Chapter 1. Configuring secure communication with Redis</t>
  </si>
  <si>
    <t xml:space="preserve">1.2. Configuring TLS for Redis with autotls enabled</t>
  </si>
  <si>
    <t xml:space="preserve">1.3. Configuring TLS for Redis with autotls disabled</t>
  </si>
  <si>
    <t xml:space="preserve">Chapter 2. Managing secrets securely using Secrets Store CSI driver with GitOps</t>
  </si>
  <si>
    <t xml:space="preserve">2.1. Overview of managing secrets using Secrets Store CSI driver with GitOps</t>
  </si>
  <si>
    <t xml:space="preserve">2.1.1. Benefits</t>
  </si>
  <si>
    <t xml:space="preserve">2.2. Secrets store providers</t>
  </si>
  <si>
    <t xml:space="preserve">2.3. Configure AWS Secrets Manager on OpenShift with GitOps</t>
  </si>
  <si>
    <t xml:space="preserve">2.3.1. Storing AWS Secrets Manager resources in GitOps repository</t>
  </si>
  <si>
    <t xml:space="preserve">2.3.2. Configuring SSCSI driver to mount secrets from AWS Secrets Manager</t>
  </si>
  <si>
    <t xml:space="preserve">2.3.3. Configuring GitOps managed resources to use mounted secrets</t>
  </si>
  <si>
    <t xml:space="preserve">2.4. Configure HashiCorp Vault as a secrets provider on OpenShift with GitOps</t>
  </si>
  <si>
    <t xml:space="preserve">2.4.1. Installing the Vault CSI Provider using GitOps</t>
  </si>
  <si>
    <t xml:space="preserve">2.4.2. Initializing and configuring Vault to store a Secret</t>
  </si>
  <si>
    <t xml:space="preserve">2.4.3. Managing Secrets, Policies, and Roles in Vault</t>
  </si>
  <si>
    <t xml:space="preserve">2.4.4. Configuring GitOps managed resources to use Vault-mounted secrets</t>
  </si>
  <si>
    <t xml:space="preserve">2.4.5. Verifying secret injection</t>
  </si>
  <si>
    <t xml:space="preserve">Chapter 3. Masking sensitive annotations in the Argo CD Web UI</t>
  </si>
  <si>
    <t xml:space="preserve">3.1. Enabling sensitive annotations masking in the Argo CD Web UI</t>
  </si>
  <si>
    <t xml:space="preserve">3.2. Additional resources</t>
  </si>
  <si>
    <t xml:space="preserve">Reference</t>
  </si>
  <si>
    <t xml:space="preserve">GitOps CLI (argocd) reference</t>
  </si>
  <si>
    <t xml:space="preserve">Configuring the GitOps CLI and logging in to the Argo CD server in the default mode</t>
  </si>
  <si>
    <t xml:space="preserve">Chapter 1. Configuring the GitOps CLI</t>
  </si>
  <si>
    <t xml:space="preserve">1.1. Enabling tab completion</t>
  </si>
  <si>
    <t xml:space="preserve">1.2. Additional resources</t>
  </si>
  <si>
    <t xml:space="preserve">Chapter 2. Logging in to the Argo CD server in the default mode</t>
  </si>
  <si>
    <t xml:space="preserve">2.1. Logging in to the Argo CD server</t>
  </si>
  <si>
    <t xml:space="preserve">2.2. Additional resources</t>
  </si>
  <si>
    <t xml:space="preserve">Chapter 3. GitOps argocd CLI reference</t>
  </si>
  <si>
    <t xml:space="preserve">3.1. Basic syntax</t>
  </si>
  <si>
    <t xml:space="preserve">3.1.1. Default mode</t>
  </si>
  <si>
    <t xml:space="preserve">3.1.2. Core mode</t>
  </si>
  <si>
    <t xml:space="preserve">3.2. Global options</t>
  </si>
  <si>
    <t xml:space="preserve">3.3. Utility commands</t>
  </si>
  <si>
    <t xml:space="preserve">3.3.1. argocd</t>
  </si>
  <si>
    <t xml:space="preserve">3.3.2. version</t>
  </si>
  <si>
    <t xml:space="preserve">3.3.3. help</t>
  </si>
  <si>
    <t xml:space="preserve">3.3.4. completion</t>
  </si>
  <si>
    <t xml:space="preserve">3.4. Additional resources</t>
  </si>
  <si>
    <t xml:space="preserve">Manage</t>
  </si>
  <si>
    <t xml:space="preserve">GitOps workloads on infrastructure nodes</t>
  </si>
  <si>
    <t xml:space="preserve">Running GitOps control plane workloads on infrastructure nodes</t>
  </si>
  <si>
    <t xml:space="preserve">Chapter 1. Running GitOps control plane workloads on infrastructure nodes</t>
  </si>
  <si>
    <t xml:space="preserve">1.1. Moving GitOps control plane workloads to infrastructure nodes</t>
  </si>
  <si>
    <t xml:space="preserve">1.2. Moving the GitOps Operator pod to infrastructure nodes</t>
  </si>
  <si>
    <t xml:space="preserve">1.3. Additional resources</t>
  </si>
  <si>
    <t xml:space="preserve">Observability</t>
  </si>
  <si>
    <t xml:space="preserve">Using observability features to view Argo CD logs and monitor the performance and health of Argo CD and application resources</t>
  </si>
  <si>
    <t xml:space="preserve">Chapter 1. Logging</t>
  </si>
  <si>
    <t xml:space="preserve">1.1. Viewing Argo CD logs</t>
  </si>
  <si>
    <t xml:space="preserve">1.1.1. Storing and retrieving Argo CD logs</t>
  </si>
  <si>
    <t xml:space="preserve">1.1.2. Additional resources</t>
  </si>
  <si>
    <t xml:space="preserve">Chapter 2. Monitoring</t>
  </si>
  <si>
    <t xml:space="preserve">2.1. Monitoring with GitOps dashboards</t>
  </si>
  <si>
    <t xml:space="preserve">2.1.1. Accessing GitOps monitoring dashboards</t>
  </si>
  <si>
    <t xml:space="preserve">2.2. Monitoring Argo CD instances</t>
  </si>
  <si>
    <t xml:space="preserve">2.2.1. Prerequisites</t>
  </si>
  <si>
    <t xml:space="preserve">2.2.2. Monitoring Argo CD health using Prometheus metrics</t>
  </si>
  <si>
    <t xml:space="preserve">2.2.3. Disabling automatic scraping of metrics for Argo CD instances</t>
  </si>
  <si>
    <t xml:space="preserve">2.2.4. Additional resources</t>
  </si>
  <si>
    <t xml:space="preserve">2.3. Monitoring the GitOps Operator performance</t>
  </si>
  <si>
    <t xml:space="preserve">2.3.1. Accessing the GitOps Operator metrics</t>
  </si>
  <si>
    <t xml:space="preserve">2.3.2. Additional resources</t>
  </si>
  <si>
    <t xml:space="preserve">2.4. Monitoring health information for application resources and deployments</t>
  </si>
  <si>
    <t xml:space="preserve">2.4.1. Settings for environment labels and annotations</t>
  </si>
  <si>
    <t xml:space="preserve">Environment labels</t>
  </si>
  <si>
    <t xml:space="preserve">Environment annotations</t>
  </si>
  <si>
    <t xml:space="preserve">2.4.2. Checking health information</t>
  </si>
  <si>
    <t xml:space="preserve">2.5. Monitoring Argo CD custom resource workloads</t>
  </si>
  <si>
    <t xml:space="preserve">2.5.1. Prerequisites</t>
  </si>
  <si>
    <t xml:space="preserve">2.5.2. Enabling Monitoring for Argo CD custom resource workloads</t>
  </si>
  <si>
    <t xml:space="preserve">2.5.3. Disabling Monitoring for Argo CD custom resource workloads</t>
  </si>
  <si>
    <t xml:space="preserve">2.5.4. Additional resources</t>
  </si>
  <si>
    <t xml:space="preserve">Troubleshoot</t>
  </si>
  <si>
    <t xml:space="preserve">Troubleshooting issues</t>
  </si>
  <si>
    <t xml:space="preserve">Troubleshooting topics for OpenShift GitOps and your cluster</t>
  </si>
  <si>
    <t xml:space="preserve">Chapter 1. Issue: Auto-reboot during Argo CD sync with machine configurations</t>
  </si>
  <si>
    <t xml:space="preserve">1.1. Solution: Enhance performance in machine configurations and Argo CD</t>
  </si>
  <si>
    <t xml:space="preserve">Mapping existing content to jobs
Usage:
- Use this tab to map your existing content to the jobs and categories identified in the Job Spreadsheet Template
Tip:
You can also use this template to
-- Identify and add missing jobs
-- Get doc team and stakeholder feedback and refactor the TOC</t>
  </si>
  <si>
    <t xml:space="preserve">JTBD</t>
  </si>
  <si>
    <t xml:space="preserve">Existing content</t>
  </si>
  <si>
    <t xml:space="preserve">JTBD Category</t>
  </si>
  <si>
    <t xml:space="preserve">Job title</t>
  </si>
  <si>
    <t xml:space="preserve">Job Level 2</t>
  </si>
  <si>
    <t xml:space="preserve">Job Level 3</t>
  </si>
  <si>
    <t xml:space="preserve">Plan</t>
  </si>
  <si>
    <t xml:space="preserve">Plan GitOps deployment resources</t>
  </si>
  <si>
    <t xml:space="preserve">When planning a large-scale GitOps deployment, I want to size Redis resources appropriately, so I can ensure optimal performance and avoid resource constraints</t>
  </si>
  <si>
    <t xml:space="preserve">When planning my GitOps deployment, I want to understand resource requirements for default workloads, so I can allocate sufficient cluster capacity</t>
  </si>
  <si>
    <t xml:space="preserve">When Argo CD is already deployed, I want to update resource requirements for workloads, so I can optimize performance or adjust to changing capacity needs</t>
  </si>
  <si>
    <t xml:space="preserve">When planning resource allocation, I want to understand how GitOpsService controller applies resource values, so I can make informed decisions about custom vs default configurations</t>
  </si>
  <si>
    <t xml:space="preserve">When resource constraints are no longer applicable, I want to remove resource requirements from workloads, so I can allow unrestricted resource consumption</t>
  </si>
  <si>
    <t xml:space="preserve">Access Argo CD instance</t>
  </si>
  <si>
    <t xml:space="preserve">Install GitOps CLI on Linux</t>
  </si>
  <si>
    <t xml:space="preserve">Install GitOps CLI on Windows</t>
  </si>
  <si>
    <t xml:space="preserve">Install GitOps CLI on macOS</t>
  </si>
  <si>
    <t xml:space="preserve">Install GitOps CLI via RPM</t>
  </si>
  <si>
    <t xml:space="preserve">Install GitOps Operator via CLI</t>
  </si>
  <si>
    <t xml:space="preserve">Install GitOps Operator via web console</t>
  </si>
  <si>
    <t xml:space="preserve">When deploying Argo CD instances, I want to manage resource allocation for workloads, so I can ensure optimal performance and meet namespace resource quotas</t>
  </si>
  <si>
    <t xml:space="preserve">When installing the GitOps Operator, I want to complete the installation and verify deployment, so I can confirm the system is running correctly</t>
  </si>
  <si>
    <t xml:space="preserve">When installing the GitOps Operator, I want to configure installation settings, so I can customize the deployment to my requirements</t>
  </si>
  <si>
    <t xml:space="preserve">When installing the GitOps Operator, I want to create and apply an OperatorGroup, so I can define the Operator's target namespaces</t>
  </si>
  <si>
    <t xml:space="preserve">When installing the GitOps Operator, I want to create and configure the Operator namespace, so I can isolate GitOps resources</t>
  </si>
  <si>
    <t xml:space="preserve">When installing the GitOps CLI, I want to download and extract the CLI archive, so I can prepare the binary for installation</t>
  </si>
  <si>
    <t xml:space="preserve">When installing the GitOps CLI, I want to install the CLI binary to my PATH, so I can run GitOps commands from any directory</t>
  </si>
  <si>
    <t xml:space="preserve">When installing the GitOps CLI, I want to install the CLI to my PATH, so I can access GitOps commands system-wide</t>
  </si>
  <si>
    <t xml:space="preserve">When installing the GitOps CLI via RPM, I want to install and verify the CLI package, so I can ensure the installation was successful</t>
  </si>
  <si>
    <t xml:space="preserve">When installing the GitOps Operator via web console, I want to navigate to OperatorHub and locate the GitOps Operator, so I can begin the installation process</t>
  </si>
  <si>
    <t xml:space="preserve">When installing the GitOps CLI via RPM, I want to register my system and enable GitOps repositories, so I can access the GitOps packages</t>
  </si>
  <si>
    <t xml:space="preserve">When installing the GitOps Operator, I want to subscribe my namespace to the GitOps Operator, so I can enable GitOps functionality</t>
  </si>
  <si>
    <t xml:space="preserve">When installing the GitOps CLI, I want to verify the CLI installation, so I can confirm it's working correctly</t>
  </si>
  <si>
    <t xml:space="preserve">When installing the GitOps Operator, I want to verify GitOps pod deployment, so I can confirm the Operator is running successfully</t>
  </si>
  <si>
    <t xml:space="preserve">Configure</t>
  </si>
  <si>
    <t xml:space="preserve">When managing GitOps console components, I want to configure resource allocation for plugin and backend services, so I can control memory usage and ensure stable performance</t>
  </si>
  <si>
    <t xml:space="preserve">When configuring GitOps plugin resources, I want to set specific requests and limits via GitOpsService CR, so I can address memory and performance issues in console components</t>
  </si>
  <si>
    <t xml:space="preserve">When setting up a new Argo CD instance, I want to configure resource requests and limits for all workloads, so I can deploy in namespaces with resource quotas</t>
  </si>
  <si>
    <t xml:space="preserve">Secure</t>
  </si>
  <si>
    <t xml:space="preserve">When accessing the Argo CD instance, I want to authenticate with my OpenShift credentials, so I can use my existing cluster identity</t>
  </si>
  <si>
    <t xml:space="preserve">When accessing the Argo CD instance, I want to authenticate with admin credentials, so I can perform administrative tasks</t>
  </si>
  <si>
    <t xml:space="preserve">When accessing the Argo CD instance, I want to navigate to the Argo CD UI, so I can manage my GitOps deployments visually</t>
  </si>
  <si>
    <t xml:space="preserve">Get Started</t>
  </si>
  <si>
    <t xml:space="preserve">When I need to understand what OpenShift GitOps is and its capabilities, I want to learn about its features and relationship to Argo CD, so I can determine if it meets my GitOps workflow needs</t>
  </si>
  <si>
    <t xml:space="preserve">What's New</t>
  </si>
  <si>
    <t xml:space="preserve">When a new GitOps version is released, I want to understand what new capabilities are available, so I can determine if they solve my current pain points or enable new use cases</t>
  </si>
  <si>
    <t xml:space="preserve">Discover</t>
  </si>
  <si>
    <t xml:space="preserve">When evaluating GitOps for my organization, I want to understand the declarative approach benefits, so I can decide if it fits our deployment strategy</t>
  </si>
  <si>
    <t xml:space="preserve">Deploy</t>
  </si>
  <si>
    <t xml:space="preserve">When deploying applications, I want to use Argo CD to manage deployments declaratively, so I can ensure consistency across environments</t>
  </si>
  <si>
    <t xml:space="preserve">When implementing progressive delivery, I want to use Argo Rollouts for canary and blue-green deployments, so I can minimize deployment risk</t>
  </si>
  <si>
    <t xml:space="preserve">Administer</t>
  </si>
  <si>
    <t xml:space="preserve">When managing GitOps instances, I want to configure multitenancy, so I can isolate teams and applications</t>
  </si>
  <si>
    <t xml:space="preserve">When operating Argo CD, I want to monitor health and sync status, so I can ensure applications are running correctly</t>
  </si>
  <si>
    <t xml:space="preserve">When applications fail to sync, I want to debug deployment issues, so I can resolve problems quickly</t>
  </si>
  <si>
    <t xml:space="preserve">When I encounter issues, I want to collect diagnostic information, so I can get support effectively</t>
  </si>
  <si>
    <t xml:space="preserve">Extend</t>
  </si>
  <si>
    <t xml:space="preserve">When I need advanced deployment patterns, I want to use Argo Rollouts, so I can implement progressive delivery strategies</t>
  </si>
  <si>
    <t xml:space="preserve">Develop</t>
  </si>
  <si>
    <t xml:space="preserve">When building GitOps workflows, I want to use the argocd CLI, so I can automate GitOps operations</t>
  </si>
  <si>
    <t xml:space="preserve">CONTENT COVERAGE ANALYSIS</t>
  </si>
  <si>
    <t xml:space="preserve">Optimize</t>
  </si>
</sst>
</file>

<file path=xl/styles.xml><?xml version="1.0" encoding="utf-8"?>
<styleSheet xmlns="http://schemas.openxmlformats.org/spreadsheetml/2006/main">
  <numFmts count="1">
    <numFmt numFmtId="164" formatCode="General"/>
  </numFmts>
  <fonts count="14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rgb="FF151515"/>
      <name val="Red Hat Display"/>
      <family val="0"/>
      <charset val="1"/>
    </font>
    <font>
      <sz val="11"/>
      <color theme="1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u val="single"/>
      <sz val="11"/>
      <color rgb="FF0000FF"/>
      <name val="Arial"/>
      <family val="0"/>
      <charset val="1"/>
    </font>
    <font>
      <sz val="11"/>
      <color rgb="FF000000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1"/>
      <name val="Cambria"/>
      <family val="0"/>
      <charset val="1"/>
    </font>
    <font>
      <sz val="11"/>
      <name val="Cambria"/>
      <family val="0"/>
      <charset val="1"/>
    </font>
    <font>
      <b val="true"/>
      <sz val="12"/>
      <color rgb="FFFFFFFF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CE5CD"/>
        <bgColor rgb="FFE7E6E6"/>
      </patternFill>
    </fill>
    <fill>
      <patternFill patternType="solid">
        <fgColor rgb="FFD9D9D9"/>
        <bgColor rgb="FFE7E6E6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7E6E6"/>
      </patternFill>
    </fill>
    <fill>
      <patternFill patternType="solid">
        <fgColor rgb="FFE7E6E6"/>
        <bgColor rgb="FFF2F2F2"/>
      </patternFill>
    </fill>
    <fill>
      <patternFill patternType="solid">
        <fgColor rgb="FF4472C4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9" fillId="4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1" fillId="6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E7E6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5CD"/>
      <rgbColor rgb="FF4472C4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151515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ocs.redhat.com/en/documentation/red_hat_openshift_gitops/1.20/html-single/release_notes" TargetMode="External"/><Relationship Id="rId2" Type="http://schemas.openxmlformats.org/officeDocument/2006/relationships/hyperlink" Target="https://docs.redhat.com/en/documentation/red_hat_openshift_gitops/1.20/html-single/release_notes" TargetMode="External"/><Relationship Id="rId3" Type="http://schemas.openxmlformats.org/officeDocument/2006/relationships/hyperlink" Target="https://docs.redhat.com/en/documentation/red_hat_openshift_gitops/1.20/html-single/release_notes" TargetMode="External"/><Relationship Id="rId4" Type="http://schemas.openxmlformats.org/officeDocument/2006/relationships/hyperlink" Target="https://docs.redhat.com/en/documentation/red_hat_openshift_gitops/1.20/html-single/release_notes" TargetMode="External"/><Relationship Id="rId5" Type="http://schemas.openxmlformats.org/officeDocument/2006/relationships/hyperlink" Target="https://docs.redhat.com/en/documentation/red_hat_openshift_gitops/1.20/html-single/release_notes" TargetMode="External"/><Relationship Id="rId6" Type="http://schemas.openxmlformats.org/officeDocument/2006/relationships/hyperlink" Target="https://docs.redhat.com/en/documentation/red_hat_openshift_gitops/1.20/html-single/release_notes" TargetMode="External"/><Relationship Id="rId7" Type="http://schemas.openxmlformats.org/officeDocument/2006/relationships/hyperlink" Target="https://docs.redhat.com/en/documentation/red_hat_openshift_gitops/1.20/html-single/release_notes" TargetMode="External"/><Relationship Id="rId8" Type="http://schemas.openxmlformats.org/officeDocument/2006/relationships/hyperlink" Target="https://docs.redhat.com/en/documentation/red_hat_openshift_gitops/1.20/html-single/release_notes" TargetMode="External"/><Relationship Id="rId9" Type="http://schemas.openxmlformats.org/officeDocument/2006/relationships/hyperlink" Target="https://docs.redhat.com/en/documentation/red_hat_openshift_gitops/1.20/html-single/release_notes" TargetMode="External"/><Relationship Id="rId10" Type="http://schemas.openxmlformats.org/officeDocument/2006/relationships/hyperlink" Target="https://docs.redhat.com/en/documentation/red_hat_openshift_gitops/1.20/html-single/release_notes" TargetMode="External"/><Relationship Id="rId11" Type="http://schemas.openxmlformats.org/officeDocument/2006/relationships/hyperlink" Target="https://docs.redhat.com/en/documentation/red_hat_openshift_gitops/1.20/html-single/release_notes" TargetMode="External"/><Relationship Id="rId12" Type="http://schemas.openxmlformats.org/officeDocument/2006/relationships/hyperlink" Target="https://docs.redhat.com/en/documentation/red_hat_openshift_gitops/1.20/html-single/release_notes" TargetMode="External"/><Relationship Id="rId13" Type="http://schemas.openxmlformats.org/officeDocument/2006/relationships/hyperlink" Target="https://docs.redhat.com/en/documentation/red_hat_openshift_gitops/1.20/html-single/release_notes" TargetMode="External"/><Relationship Id="rId14" Type="http://schemas.openxmlformats.org/officeDocument/2006/relationships/hyperlink" Target="https://docs.redhat.com/en/documentation/red_hat_openshift_gitops/1.20/html-single/release_notes" TargetMode="External"/><Relationship Id="rId15" Type="http://schemas.openxmlformats.org/officeDocument/2006/relationships/hyperlink" Target="https://docs.redhat.com/en/documentation/red_hat_openshift_gitops/1.20/html-single/release_notes" TargetMode="External"/><Relationship Id="rId16" Type="http://schemas.openxmlformats.org/officeDocument/2006/relationships/hyperlink" Target="https://docs.redhat.com/en/documentation/red_hat_openshift_gitops/1.20/html-single/release_notes" TargetMode="External"/><Relationship Id="rId17" Type="http://schemas.openxmlformats.org/officeDocument/2006/relationships/hyperlink" Target="https://docs.redhat.com/en/documentation/red_hat_openshift_gitops/1.20/html-single/release_notes" TargetMode="External"/><Relationship Id="rId18" Type="http://schemas.openxmlformats.org/officeDocument/2006/relationships/hyperlink" Target="https://docs.redhat.com/en/documentation/red_hat_openshift_gitops/1.20/html-single/release_notes" TargetMode="External"/><Relationship Id="rId19" Type="http://schemas.openxmlformats.org/officeDocument/2006/relationships/hyperlink" Target="https://docs.redhat.com/en/documentation/red_hat_openshift_gitops/1.20/html-single/release_notes" TargetMode="External"/><Relationship Id="rId20" Type="http://schemas.openxmlformats.org/officeDocument/2006/relationships/hyperlink" Target="https://docs.redhat.com/en/documentation/red_hat_openshift_gitops/1.20/html-single/understanding_openshift_gitops" TargetMode="External"/><Relationship Id="rId21" Type="http://schemas.openxmlformats.org/officeDocument/2006/relationships/hyperlink" Target="https://docs.redhat.com/en/documentation/red_hat_openshift_gitops/1.20/html-single/understanding_openshift_gitops" TargetMode="External"/><Relationship Id="rId22" Type="http://schemas.openxmlformats.org/officeDocument/2006/relationships/hyperlink" Target="https://docs.redhat.com/en/documentation/red_hat_openshift_gitops/1.20/html-single/understanding_openshift_gitops" TargetMode="External"/><Relationship Id="rId23" Type="http://schemas.openxmlformats.org/officeDocument/2006/relationships/hyperlink" Target="https://docs.redhat.com/en/documentation/red_hat_openshift_gitops/1.20/html-single/understanding_openshift_gitops" TargetMode="External"/><Relationship Id="rId24" Type="http://schemas.openxmlformats.org/officeDocument/2006/relationships/hyperlink" Target="https://docs.redhat.com/en/documentation/red_hat_openshift_gitops/1.20/html-single/understanding_openshift_gitops" TargetMode="External"/><Relationship Id="rId25" Type="http://schemas.openxmlformats.org/officeDocument/2006/relationships/hyperlink" Target="https://docs.redhat.com/en/documentation/red_hat_openshift_gitops/1.20/html-single/understanding_openshift_gitops" TargetMode="External"/><Relationship Id="rId26" Type="http://schemas.openxmlformats.org/officeDocument/2006/relationships/hyperlink" Target="https://docs.redhat.com/en/documentation/red_hat_openshift_gitops/1.20/html-single/understanding_openshift_gitops" TargetMode="External"/><Relationship Id="rId27" Type="http://schemas.openxmlformats.org/officeDocument/2006/relationships/hyperlink" Target="https://docs.redhat.com/en/documentation/red_hat_openshift_gitops/1.20/html-single/understanding_openshift_gitops" TargetMode="External"/><Relationship Id="rId28" Type="http://schemas.openxmlformats.org/officeDocument/2006/relationships/hyperlink" Target="https://docs.redhat.com/en/documentation/red_hat_openshift_gitops/1.20/html-single/understanding_openshift_gitops" TargetMode="External"/><Relationship Id="rId29" Type="http://schemas.openxmlformats.org/officeDocument/2006/relationships/hyperlink" Target="https://docs.redhat.com/en/documentation/red_hat_openshift_gitops/1.20/html-single/understanding_openshift_gitops" TargetMode="External"/><Relationship Id="rId30" Type="http://schemas.openxmlformats.org/officeDocument/2006/relationships/hyperlink" Target="https://docs.redhat.com/en/documentation/red_hat_openshift_gitops/1.20/html-single/understanding_openshift_gitops" TargetMode="External"/><Relationship Id="rId31" Type="http://schemas.openxmlformats.org/officeDocument/2006/relationships/hyperlink" Target="https://docs.redhat.com/en/documentation/red_hat_openshift_gitops/1.20/html-single/managing_cluster_configuration" TargetMode="External"/><Relationship Id="rId32" Type="http://schemas.openxmlformats.org/officeDocument/2006/relationships/hyperlink" Target="https://docs.redhat.com/en/documentation/red_hat_openshift_gitops/1.20/html-single/managing_cluster_configuration" TargetMode="External"/><Relationship Id="rId33" Type="http://schemas.openxmlformats.org/officeDocument/2006/relationships/hyperlink" Target="https://docs.redhat.com/en/documentation/red_hat_openshift_gitops/1.20/html-single/managing_cluster_configuration" TargetMode="External"/><Relationship Id="rId34" Type="http://schemas.openxmlformats.org/officeDocument/2006/relationships/hyperlink" Target="https://docs.redhat.com/en/documentation/red_hat_openshift_gitops/1.20/html-single/managing_cluster_configuration" TargetMode="External"/><Relationship Id="rId35" Type="http://schemas.openxmlformats.org/officeDocument/2006/relationships/hyperlink" Target="https://docs.redhat.com/en/documentation/red_hat_openshift_gitops/1.20/html-single/managing_cluster_configuration" TargetMode="External"/><Relationship Id="rId36" Type="http://schemas.openxmlformats.org/officeDocument/2006/relationships/hyperlink" Target="https://docs.redhat.com/en/documentation/red_hat_openshift_gitops/1.20/html-single/managing_cluster_configuration" TargetMode="External"/><Relationship Id="rId37" Type="http://schemas.openxmlformats.org/officeDocument/2006/relationships/hyperlink" Target="https://docs.redhat.com/en/documentation/red_hat_openshift_gitops/1.20/html-single/managing_cluster_configuration" TargetMode="External"/><Relationship Id="rId38" Type="http://schemas.openxmlformats.org/officeDocument/2006/relationships/hyperlink" Target="https://docs.redhat.com/en/documentation/red_hat_openshift_gitops/1.20/html-single/managing_cluster_configuration" TargetMode="External"/><Relationship Id="rId39" Type="http://schemas.openxmlformats.org/officeDocument/2006/relationships/hyperlink" Target="https://docs.redhat.com/en/documentation/red_hat_openshift_gitops/1.20/html-single/managing_cluster_configuration" TargetMode="External"/><Relationship Id="rId40" Type="http://schemas.openxmlformats.org/officeDocument/2006/relationships/hyperlink" Target="https://docs.redhat.com/en/documentation/red_hat_openshift_gitops/1.20/html-single/managing_cluster_configuration" TargetMode="External"/><Relationship Id="rId41" Type="http://schemas.openxmlformats.org/officeDocument/2006/relationships/hyperlink" Target="https://docs.redhat.com/en/documentation/red_hat_openshift_gitops/1.20/html-single/installing_gitops" TargetMode="External"/><Relationship Id="rId42" Type="http://schemas.openxmlformats.org/officeDocument/2006/relationships/hyperlink" Target="https://docs.redhat.com/en/documentation/red_hat_openshift_gitops/1.20/html-single/installing_gitops" TargetMode="External"/><Relationship Id="rId43" Type="http://schemas.openxmlformats.org/officeDocument/2006/relationships/hyperlink" Target="https://docs.redhat.com/en/documentation/red_hat_openshift_gitops/1.20/html-single/installing_gitops" TargetMode="External"/><Relationship Id="rId44" Type="http://schemas.openxmlformats.org/officeDocument/2006/relationships/hyperlink" Target="https://docs.redhat.com/en/documentation/red_hat_openshift_gitops/1.20/html-single/installing_gitops" TargetMode="External"/><Relationship Id="rId45" Type="http://schemas.openxmlformats.org/officeDocument/2006/relationships/hyperlink" Target="https://docs.redhat.com/en/documentation/red_hat_openshift_gitops/1.20/html-single/installing_gitops" TargetMode="External"/><Relationship Id="rId46" Type="http://schemas.openxmlformats.org/officeDocument/2006/relationships/hyperlink" Target="https://docs.redhat.com/en/documentation/red_hat_openshift_gitops/1.20/html-single/installing_gitops" TargetMode="External"/><Relationship Id="rId47" Type="http://schemas.openxmlformats.org/officeDocument/2006/relationships/hyperlink" Target="https://docs.redhat.com/en/documentation/red_hat_openshift_gitops/1.20/html-single/installing_gitops" TargetMode="External"/><Relationship Id="rId48" Type="http://schemas.openxmlformats.org/officeDocument/2006/relationships/hyperlink" Target="https://docs.redhat.com/en/documentation/red_hat_openshift_gitops/1.20/html-single/installing_gitops" TargetMode="External"/><Relationship Id="rId49" Type="http://schemas.openxmlformats.org/officeDocument/2006/relationships/hyperlink" Target="https://docs.redhat.com/en/documentation/red_hat_openshift_gitops/1.20/html-single/installing_gitops" TargetMode="External"/><Relationship Id="rId50" Type="http://schemas.openxmlformats.org/officeDocument/2006/relationships/hyperlink" Target="https://docs.redhat.com/en/documentation/red_hat_openshift_gitops/1.20/html-single/installing_gitops" TargetMode="External"/><Relationship Id="rId51" Type="http://schemas.openxmlformats.org/officeDocument/2006/relationships/hyperlink" Target="https://docs.redhat.com/en/documentation/red_hat_openshift_gitops/1.20/html-single/installing_gitops" TargetMode="External"/><Relationship Id="rId52" Type="http://schemas.openxmlformats.org/officeDocument/2006/relationships/hyperlink" Target="https://docs.redhat.com/en/documentation/red_hat_openshift_gitops/1.20/html-single/installing_gitops" TargetMode="External"/><Relationship Id="rId53" Type="http://schemas.openxmlformats.org/officeDocument/2006/relationships/hyperlink" Target="https://docs.redhat.com/en/documentation/red_hat_openshift_gitops/1.20/html-single/installing_gitops" TargetMode="External"/><Relationship Id="rId54" Type="http://schemas.openxmlformats.org/officeDocument/2006/relationships/hyperlink" Target="https://docs.redhat.com/en/documentation/red_hat_openshift_gitops/1.20/html-single/installing_gitops" TargetMode="External"/><Relationship Id="rId55" Type="http://schemas.openxmlformats.org/officeDocument/2006/relationships/hyperlink" Target="https://docs.redhat.com/en/documentation/red_hat_openshift_gitops/1.20/html-single/installing_gitops" TargetMode="External"/><Relationship Id="rId56" Type="http://schemas.openxmlformats.org/officeDocument/2006/relationships/hyperlink" Target="https://docs.redhat.com/en/documentation/red_hat_openshift_gitops/1.20/html-single/installing_gitops" TargetMode="External"/><Relationship Id="rId57" Type="http://schemas.openxmlformats.org/officeDocument/2006/relationships/hyperlink" Target="https://docs.redhat.com/en/documentation/red_hat_openshift_gitops/1.20/html-single/installing_gitops" TargetMode="External"/><Relationship Id="rId58" Type="http://schemas.openxmlformats.org/officeDocument/2006/relationships/hyperlink" Target="https://docs.redhat.com/en/documentation/red_hat_openshift_gitops/1.20/html-single/removing_gitops" TargetMode="External"/><Relationship Id="rId59" Type="http://schemas.openxmlformats.org/officeDocument/2006/relationships/hyperlink" Target="https://docs.redhat.com/en/documentation/red_hat_openshift_gitops/1.20/html-single/removing_gitops" TargetMode="External"/><Relationship Id="rId60" Type="http://schemas.openxmlformats.org/officeDocument/2006/relationships/hyperlink" Target="https://docs.redhat.com/en/documentation/red_hat_openshift_gitops/1.20/html-single/removing_gitops" TargetMode="External"/><Relationship Id="rId61" Type="http://schemas.openxmlformats.org/officeDocument/2006/relationships/hyperlink" Target="https://docs.redhat.com/en/documentation/red_hat_openshift_gitops/1.20/html-single/removing_gitops" TargetMode="External"/><Relationship Id="rId62" Type="http://schemas.openxmlformats.org/officeDocument/2006/relationships/hyperlink" Target="https://docs.redhat.com/en/documentation/red_hat_openshift_gitops/1.20/html-single/removing_gitops" TargetMode="External"/><Relationship Id="rId63" Type="http://schemas.openxmlformats.org/officeDocument/2006/relationships/hyperlink" Target="https://docs.redhat.com/en/documentation/red_hat_openshift_gitops/1.20/html-single/argo_cd_instance" TargetMode="External"/><Relationship Id="rId64" Type="http://schemas.openxmlformats.org/officeDocument/2006/relationships/hyperlink" Target="https://docs.redhat.com/en/documentation/red_hat_openshift_gitops/1.20/html-single/argo_cd_instance" TargetMode="External"/><Relationship Id="rId65" Type="http://schemas.openxmlformats.org/officeDocument/2006/relationships/hyperlink" Target="https://docs.redhat.com/en/documentation/red_hat_openshift_gitops/1.20/html-single/argo_cd_instance" TargetMode="External"/><Relationship Id="rId66" Type="http://schemas.openxmlformats.org/officeDocument/2006/relationships/hyperlink" Target="https://docs.redhat.com/en/documentation/red_hat_openshift_gitops/1.20/html-single/argo_cd_instance" TargetMode="External"/><Relationship Id="rId67" Type="http://schemas.openxmlformats.org/officeDocument/2006/relationships/hyperlink" Target="https://docs.redhat.com/en/documentation/red_hat_openshift_gitops/1.20/html-single/argo_cd_instance" TargetMode="External"/><Relationship Id="rId68" Type="http://schemas.openxmlformats.org/officeDocument/2006/relationships/hyperlink" Target="https://docs.redhat.com/en/documentation/red_hat_openshift_gitops/1.20/html-single/argo_cd_instance" TargetMode="External"/><Relationship Id="rId69" Type="http://schemas.openxmlformats.org/officeDocument/2006/relationships/hyperlink" Target="https://docs.redhat.com/en/documentation/red_hat_openshift_gitops/1.20/html-single/argo_cd_instance" TargetMode="External"/><Relationship Id="rId70" Type="http://schemas.openxmlformats.org/officeDocument/2006/relationships/hyperlink" Target="https://docs.redhat.com/en/documentation/red_hat_openshift_gitops/1.20/html-single/argo_cd_instance" TargetMode="External"/><Relationship Id="rId71" Type="http://schemas.openxmlformats.org/officeDocument/2006/relationships/hyperlink" Target="https://docs.redhat.com/en/documentation/red_hat_openshift_gitops/1.20/html-single/argo_cd_instance" TargetMode="External"/><Relationship Id="rId72" Type="http://schemas.openxmlformats.org/officeDocument/2006/relationships/hyperlink" Target="https://docs.redhat.com/en/documentation/red_hat_openshift_gitops/1.20/html-single/argo_cd_instance" TargetMode="External"/><Relationship Id="rId73" Type="http://schemas.openxmlformats.org/officeDocument/2006/relationships/hyperlink" Target="https://docs.redhat.com/en/documentation/red_hat_openshift_gitops/1.20/html-single/argo_cd_instance" TargetMode="External"/><Relationship Id="rId74" Type="http://schemas.openxmlformats.org/officeDocument/2006/relationships/hyperlink" Target="https://docs.redhat.com/en/documentation/red_hat_openshift_gitops/1.20/html-single/argo_cd_instance" TargetMode="External"/><Relationship Id="rId75" Type="http://schemas.openxmlformats.org/officeDocument/2006/relationships/hyperlink" Target="https://docs.redhat.com/en/documentation/red_hat_openshift_gitops/1.20/html-single/argo_cd_instance" TargetMode="External"/><Relationship Id="rId76" Type="http://schemas.openxmlformats.org/officeDocument/2006/relationships/hyperlink" Target="https://docs.redhat.com/en/documentation/red_hat_openshift_gitops/1.20/html-single/argo_cd_instance" TargetMode="External"/><Relationship Id="rId77" Type="http://schemas.openxmlformats.org/officeDocument/2006/relationships/hyperlink" Target="https://docs.redhat.com/en/documentation/red_hat_openshift_gitops/1.20/html-single/argo_cd_instance" TargetMode="External"/><Relationship Id="rId78" Type="http://schemas.openxmlformats.org/officeDocument/2006/relationships/hyperlink" Target="https://docs.redhat.com/en/documentation/red_hat_openshift_gitops/1.20/html-single/argo_cd_instance" TargetMode="External"/><Relationship Id="rId79" Type="http://schemas.openxmlformats.org/officeDocument/2006/relationships/hyperlink" Target="https://docs.redhat.com/en/documentation/red_hat_openshift_gitops/1.20/html-single/argo_cd_instance" TargetMode="External"/><Relationship Id="rId80" Type="http://schemas.openxmlformats.org/officeDocument/2006/relationships/hyperlink" Target="https://docs.redhat.com/en/documentation/red_hat_openshift_gitops/1.20/html-single/argo_cd_instance" TargetMode="External"/><Relationship Id="rId81" Type="http://schemas.openxmlformats.org/officeDocument/2006/relationships/hyperlink" Target="https://docs.redhat.com/en/documentation/red_hat_openshift_gitops/1.20/html-single/argo_cd_instance" TargetMode="External"/><Relationship Id="rId82" Type="http://schemas.openxmlformats.org/officeDocument/2006/relationships/hyperlink" Target="https://docs.redhat.com/en/documentation/red_hat_openshift_gitops/1.20/html-single/argo_cd_instance" TargetMode="External"/><Relationship Id="rId83" Type="http://schemas.openxmlformats.org/officeDocument/2006/relationships/hyperlink" Target="https://docs.redhat.com/en/documentation/red_hat_openshift_gitops/1.20/html-single/argo_cd_instance" TargetMode="External"/><Relationship Id="rId84" Type="http://schemas.openxmlformats.org/officeDocument/2006/relationships/hyperlink" Target="https://docs.redhat.com/en/documentation/red_hat_openshift_gitops/1.20/html-single/argo_cd_instance" TargetMode="External"/><Relationship Id="rId85" Type="http://schemas.openxmlformats.org/officeDocument/2006/relationships/hyperlink" Target="https://docs.redhat.com/en/documentation/red_hat_openshift_gitops/1.20/html-single/argo_cd_instance" TargetMode="External"/><Relationship Id="rId86" Type="http://schemas.openxmlformats.org/officeDocument/2006/relationships/hyperlink" Target="https://docs.redhat.com/en/documentation/red_hat_openshift_gitops/1.20/html-single/access_control_and_user_management" TargetMode="External"/><Relationship Id="rId87" Type="http://schemas.openxmlformats.org/officeDocument/2006/relationships/hyperlink" Target="https://docs.redhat.com/en/documentation/red_hat_openshift_gitops/1.20/html-single/access_control_and_user_management" TargetMode="External"/><Relationship Id="rId88" Type="http://schemas.openxmlformats.org/officeDocument/2006/relationships/hyperlink" Target="https://docs.redhat.com/en/documentation/red_hat_openshift_gitops/1.20/html-single/access_control_and_user_management" TargetMode="External"/><Relationship Id="rId89" Type="http://schemas.openxmlformats.org/officeDocument/2006/relationships/hyperlink" Target="https://docs.redhat.com/en/documentation/red_hat_openshift_gitops/1.20/html-single/access_control_and_user_management" TargetMode="External"/><Relationship Id="rId90" Type="http://schemas.openxmlformats.org/officeDocument/2006/relationships/hyperlink" Target="https://docs.redhat.com/en/documentation/red_hat_openshift_gitops/1.20/html-single/access_control_and_user_management" TargetMode="External"/><Relationship Id="rId91" Type="http://schemas.openxmlformats.org/officeDocument/2006/relationships/hyperlink" Target="https://docs.redhat.com/en/documentation/red_hat_openshift_gitops/1.20/html-single/access_control_and_user_management" TargetMode="External"/><Relationship Id="rId92" Type="http://schemas.openxmlformats.org/officeDocument/2006/relationships/hyperlink" Target="https://docs.redhat.com/en/documentation/red_hat_openshift_gitops/1.20/html-single/access_control_and_user_management" TargetMode="External"/><Relationship Id="rId93" Type="http://schemas.openxmlformats.org/officeDocument/2006/relationships/hyperlink" Target="https://docs.redhat.com/en/documentation/red_hat_openshift_gitops/1.20/html-single/access_control_and_user_management" TargetMode="External"/><Relationship Id="rId94" Type="http://schemas.openxmlformats.org/officeDocument/2006/relationships/hyperlink" Target="https://docs.redhat.com/en/documentation/red_hat_openshift_gitops/1.20/html-single/access_control_and_user_management" TargetMode="External"/><Relationship Id="rId95" Type="http://schemas.openxmlformats.org/officeDocument/2006/relationships/hyperlink" Target="https://docs.redhat.com/en/documentation/red_hat_openshift_gitops/1.20/html-single/access_control_and_user_management" TargetMode="External"/><Relationship Id="rId96" Type="http://schemas.openxmlformats.org/officeDocument/2006/relationships/hyperlink" Target="https://docs.redhat.com/en/documentation/red_hat_openshift_gitops/1.20/html-single/access_control_and_user_management" TargetMode="External"/><Relationship Id="rId97" Type="http://schemas.openxmlformats.org/officeDocument/2006/relationships/hyperlink" Target="https://docs.redhat.com/en/documentation/red_hat_openshift_gitops/1.20/html-single/access_control_and_user_management" TargetMode="External"/><Relationship Id="rId98" Type="http://schemas.openxmlformats.org/officeDocument/2006/relationships/hyperlink" Target="https://docs.redhat.com/en/documentation/red_hat_openshift_gitops/1.20/html-single/access_control_and_user_management" TargetMode="External"/><Relationship Id="rId99" Type="http://schemas.openxmlformats.org/officeDocument/2006/relationships/hyperlink" Target="https://docs.redhat.com/en/documentation/red_hat_openshift_gitops/1.20/html-single/access_control_and_user_management" TargetMode="External"/><Relationship Id="rId100" Type="http://schemas.openxmlformats.org/officeDocument/2006/relationships/hyperlink" Target="https://docs.redhat.com/en/documentation/red_hat_openshift_gitops/1.20/html-single/access_control_and_user_management" TargetMode="External"/><Relationship Id="rId101" Type="http://schemas.openxmlformats.org/officeDocument/2006/relationships/hyperlink" Target="https://docs.redhat.com/en/documentation/red_hat_openshift_gitops/1.20/html-single/access_control_and_user_management" TargetMode="External"/><Relationship Id="rId102" Type="http://schemas.openxmlformats.org/officeDocument/2006/relationships/hyperlink" Target="https://docs.redhat.com/en/documentation/red_hat_openshift_gitops/1.20/html-single/access_control_and_user_management" TargetMode="External"/><Relationship Id="rId103" Type="http://schemas.openxmlformats.org/officeDocument/2006/relationships/hyperlink" Target="https://docs.redhat.com/en/documentation/red_hat_openshift_gitops/1.20/html-single/access_control_and_user_management" TargetMode="External"/><Relationship Id="rId104" Type="http://schemas.openxmlformats.org/officeDocument/2006/relationships/hyperlink" Target="https://docs.redhat.com/en/documentation/red_hat_openshift_gitops/1.20/html-single/access_control_and_user_management" TargetMode="External"/><Relationship Id="rId105" Type="http://schemas.openxmlformats.org/officeDocument/2006/relationships/hyperlink" Target="https://docs.redhat.com/en/documentation/red_hat_openshift_gitops/1.20/html-single/access_control_and_user_management" TargetMode="External"/><Relationship Id="rId106" Type="http://schemas.openxmlformats.org/officeDocument/2006/relationships/hyperlink" Target="https://docs.redhat.com/en/documentation/red_hat_openshift_gitops/1.20/html-single/access_control_and_user_management" TargetMode="External"/><Relationship Id="rId107" Type="http://schemas.openxmlformats.org/officeDocument/2006/relationships/hyperlink" Target="https://docs.redhat.com/en/documentation/red_hat_openshift_gitops/1.20/html-single/access_control_and_user_management" TargetMode="External"/><Relationship Id="rId108" Type="http://schemas.openxmlformats.org/officeDocument/2006/relationships/hyperlink" Target="https://docs.redhat.com/en/documentation/red_hat_openshift_gitops/1.20/html-single/managing_resource_use" TargetMode="External"/><Relationship Id="rId109" Type="http://schemas.openxmlformats.org/officeDocument/2006/relationships/hyperlink" Target="https://docs.redhat.com/en/documentation/red_hat_openshift_gitops/1.20/html-single/managing_resource_use" TargetMode="External"/><Relationship Id="rId110" Type="http://schemas.openxmlformats.org/officeDocument/2006/relationships/hyperlink" Target="https://docs.redhat.com/en/documentation/red_hat_openshift_gitops/1.20/html-single/managing_resource_use" TargetMode="External"/><Relationship Id="rId111" Type="http://schemas.openxmlformats.org/officeDocument/2006/relationships/hyperlink" Target="https://docs.redhat.com/en/documentation/red_hat_openshift_gitops/1.20/html-single/managing_resource_use" TargetMode="External"/><Relationship Id="rId112" Type="http://schemas.openxmlformats.org/officeDocument/2006/relationships/hyperlink" Target="https://docs.redhat.com/en/documentation/red_hat_openshift_gitops/1.20/html-single/managing_resource_use" TargetMode="External"/><Relationship Id="rId113" Type="http://schemas.openxmlformats.org/officeDocument/2006/relationships/hyperlink" Target="https://docs.redhat.com/en/documentation/red_hat_openshift_gitops/1.20/html-single/managing_resource_use" TargetMode="External"/><Relationship Id="rId114" Type="http://schemas.openxmlformats.org/officeDocument/2006/relationships/hyperlink" Target="https://docs.redhat.com/en/documentation/red_hat_openshift_gitops/1.20/html-single/managing_resource_use" TargetMode="External"/><Relationship Id="rId115" Type="http://schemas.openxmlformats.org/officeDocument/2006/relationships/hyperlink" Target="https://docs.redhat.com/en/documentation/red_hat_openshift_gitops/1.20/html-single/managing_resource_use" TargetMode="External"/><Relationship Id="rId116" Type="http://schemas.openxmlformats.org/officeDocument/2006/relationships/hyperlink" Target="https://docs.redhat.com/en/documentation/red_hat_openshift_gitops/1.20/html-single/managing_resource_use" TargetMode="External"/><Relationship Id="rId117" Type="http://schemas.openxmlformats.org/officeDocument/2006/relationships/hyperlink" Target="https://docs.redhat.com/en/documentation/red_hat_openshift_gitops/1.20/html-single/argo_cd_applications" TargetMode="External"/><Relationship Id="rId118" Type="http://schemas.openxmlformats.org/officeDocument/2006/relationships/hyperlink" Target="https://docs.redhat.com/en/documentation/red_hat_openshift_gitops/1.20/html-single/argo_cd_applications" TargetMode="External"/><Relationship Id="rId119" Type="http://schemas.openxmlformats.org/officeDocument/2006/relationships/hyperlink" Target="https://docs.redhat.com/en/documentation/red_hat_openshift_gitops/1.20/html-single/argo_cd_applications" TargetMode="External"/><Relationship Id="rId120" Type="http://schemas.openxmlformats.org/officeDocument/2006/relationships/hyperlink" Target="https://docs.redhat.com/en/documentation/red_hat_openshift_gitops/1.20/html-single/argo_cd_applications" TargetMode="External"/><Relationship Id="rId121" Type="http://schemas.openxmlformats.org/officeDocument/2006/relationships/hyperlink" Target="https://docs.redhat.com/en/documentation/red_hat_openshift_gitops/1.20/html-single/argo_cd_applications" TargetMode="External"/><Relationship Id="rId122" Type="http://schemas.openxmlformats.org/officeDocument/2006/relationships/hyperlink" Target="https://docs.redhat.com/en/documentation/red_hat_openshift_gitops/1.20/html-single/argo_cd_applications" TargetMode="External"/><Relationship Id="rId123" Type="http://schemas.openxmlformats.org/officeDocument/2006/relationships/hyperlink" Target="https://docs.redhat.com/en/documentation/red_hat_openshift_gitops/1.20/html-single/argo_cd_applications" TargetMode="External"/><Relationship Id="rId124" Type="http://schemas.openxmlformats.org/officeDocument/2006/relationships/hyperlink" Target="https://docs.redhat.com/en/documentation/red_hat_openshift_gitops/1.20/html-single/argo_cd_applications" TargetMode="External"/><Relationship Id="rId125" Type="http://schemas.openxmlformats.org/officeDocument/2006/relationships/hyperlink" Target="https://docs.redhat.com/en/documentation/red_hat_openshift_gitops/1.20/html-single/argo_cd_applications" TargetMode="External"/><Relationship Id="rId126" Type="http://schemas.openxmlformats.org/officeDocument/2006/relationships/hyperlink" Target="https://docs.redhat.com/en/documentation/red_hat_openshift_gitops/1.20/html-single/argo_cd_applications" TargetMode="External"/><Relationship Id="rId127" Type="http://schemas.openxmlformats.org/officeDocument/2006/relationships/hyperlink" Target="https://docs.redhat.com/en/documentation/red_hat_openshift_gitops/1.20/html-single/argo_cd_applications" TargetMode="External"/><Relationship Id="rId128" Type="http://schemas.openxmlformats.org/officeDocument/2006/relationships/hyperlink" Target="https://docs.redhat.com/en/documentation/red_hat_openshift_gitops/1.20/html-single/argo_cd_applications" TargetMode="External"/><Relationship Id="rId129" Type="http://schemas.openxmlformats.org/officeDocument/2006/relationships/hyperlink" Target="https://docs.redhat.com/en/documentation/red_hat_openshift_gitops/1.20/html-single/argo_cd_applications" TargetMode="External"/><Relationship Id="rId130" Type="http://schemas.openxmlformats.org/officeDocument/2006/relationships/hyperlink" Target="https://docs.redhat.com/en/documentation/red_hat_openshift_gitops/1.20/html-single/argo_cd_applications" TargetMode="External"/><Relationship Id="rId131" Type="http://schemas.openxmlformats.org/officeDocument/2006/relationships/hyperlink" Target="https://docs.redhat.com/en/documentation/red_hat_openshift_gitops/1.20/html-single/argo_cd_applications" TargetMode="External"/><Relationship Id="rId132" Type="http://schemas.openxmlformats.org/officeDocument/2006/relationships/hyperlink" Target="https://docs.redhat.com/en/documentation/red_hat_openshift_gitops/1.20/html-single/argo_cd_applications" TargetMode="External"/><Relationship Id="rId133" Type="http://schemas.openxmlformats.org/officeDocument/2006/relationships/hyperlink" Target="https://docs.redhat.com/en/documentation/red_hat_openshift_gitops/1.20/html-single/argo_cd_applications" TargetMode="External"/><Relationship Id="rId134" Type="http://schemas.openxmlformats.org/officeDocument/2006/relationships/hyperlink" Target="https://docs.redhat.com/en/documentation/red_hat_openshift_gitops/1.20/html-single/argo_cd_applications" TargetMode="External"/><Relationship Id="rId135" Type="http://schemas.openxmlformats.org/officeDocument/2006/relationships/hyperlink" Target="https://docs.redhat.com/en/documentation/red_hat_openshift_gitops/1.20/html-single/argo_cd_applications" TargetMode="External"/><Relationship Id="rId136" Type="http://schemas.openxmlformats.org/officeDocument/2006/relationships/hyperlink" Target="https://docs.redhat.com/en/documentation/red_hat_openshift_gitops/1.20/html-single/argo_cd_applications" TargetMode="External"/><Relationship Id="rId137" Type="http://schemas.openxmlformats.org/officeDocument/2006/relationships/hyperlink" Target="https://docs.redhat.com/en/documentation/red_hat_openshift_gitops/1.20/html-single/argo_cd_applications" TargetMode="External"/><Relationship Id="rId138" Type="http://schemas.openxmlformats.org/officeDocument/2006/relationships/hyperlink" Target="https://docs.redhat.com/en/documentation/red_hat_openshift_gitops/1.20/html-single/argo_cd_applications" TargetMode="External"/><Relationship Id="rId139" Type="http://schemas.openxmlformats.org/officeDocument/2006/relationships/hyperlink" Target="https://docs.redhat.com/en/documentation/red_hat_openshift_gitops/1.20/html-single/argo_cd_application_sets" TargetMode="External"/><Relationship Id="rId140" Type="http://schemas.openxmlformats.org/officeDocument/2006/relationships/hyperlink" Target="https://docs.redhat.com/en/documentation/red_hat_openshift_gitops/1.20/html-single/argo_cd_application_sets" TargetMode="External"/><Relationship Id="rId141" Type="http://schemas.openxmlformats.org/officeDocument/2006/relationships/hyperlink" Target="https://docs.redhat.com/en/documentation/red_hat_openshift_gitops/1.20/html-single/argo_cd_application_sets" TargetMode="External"/><Relationship Id="rId142" Type="http://schemas.openxmlformats.org/officeDocument/2006/relationships/hyperlink" Target="https://docs.redhat.com/en/documentation/red_hat_openshift_gitops/1.20/html-single/argo_cd_application_sets" TargetMode="External"/><Relationship Id="rId143" Type="http://schemas.openxmlformats.org/officeDocument/2006/relationships/hyperlink" Target="https://docs.redhat.com/en/documentation/red_hat_openshift_gitops/1.20/html-single/argo_cd_application_sets" TargetMode="External"/><Relationship Id="rId144" Type="http://schemas.openxmlformats.org/officeDocument/2006/relationships/hyperlink" Target="https://docs.redhat.com/en/documentation/red_hat_openshift_gitops/1.20/html-single/argo_cd_application_sets" TargetMode="External"/><Relationship Id="rId145" Type="http://schemas.openxmlformats.org/officeDocument/2006/relationships/hyperlink" Target="https://docs.redhat.com/en/documentation/red_hat_openshift_gitops/1.20/html-single/argo_cd_application_sets" TargetMode="External"/><Relationship Id="rId146" Type="http://schemas.openxmlformats.org/officeDocument/2006/relationships/hyperlink" Target="https://docs.redhat.com/en/documentation/red_hat_openshift_gitops/1.20/html-single/argo_cd_application_sets" TargetMode="External"/><Relationship Id="rId147" Type="http://schemas.openxmlformats.org/officeDocument/2006/relationships/hyperlink" Target="https://docs.redhat.com/en/documentation/red_hat_openshift_gitops/1.20/html-single/argo_cd_application_sets" TargetMode="External"/><Relationship Id="rId148" Type="http://schemas.openxmlformats.org/officeDocument/2006/relationships/hyperlink" Target="https://docs.redhat.com/en/documentation/red_hat_openshift_gitops/1.20/html-single/argo_cd_application_sets" TargetMode="External"/><Relationship Id="rId149" Type="http://schemas.openxmlformats.org/officeDocument/2006/relationships/hyperlink" Target="https://docs.redhat.com/en/documentation/red_hat_openshift_gitops/1.20/html-single/argo_cd_application_sets" TargetMode="External"/><Relationship Id="rId150" Type="http://schemas.openxmlformats.org/officeDocument/2006/relationships/hyperlink" Target="https://docs.redhat.com/en/documentation/red_hat_openshift_gitops/1.20/html-single/argo_cd_application_sets" TargetMode="External"/><Relationship Id="rId151" Type="http://schemas.openxmlformats.org/officeDocument/2006/relationships/hyperlink" Target="https://docs.redhat.com/en/documentation/red_hat_openshift_gitops/1.20/html-single/argo_cd_application_sets" TargetMode="External"/><Relationship Id="rId152" Type="http://schemas.openxmlformats.org/officeDocument/2006/relationships/hyperlink" Target="https://docs.redhat.com/en/documentation/red_hat_openshift_gitops/1.20/html-single/argo_cd_application_sets" TargetMode="External"/><Relationship Id="rId153" Type="http://schemas.openxmlformats.org/officeDocument/2006/relationships/hyperlink" Target="https://docs.redhat.com/en/documentation/red_hat_openshift_gitops/1.20/html-single/argo_cd_application_sets" TargetMode="External"/><Relationship Id="rId154" Type="http://schemas.openxmlformats.org/officeDocument/2006/relationships/hyperlink" Target="https://docs.redhat.com/en/documentation/red_hat_openshift_gitops/1.20/html-single/argo_cd_application_sets" TargetMode="External"/><Relationship Id="rId155" Type="http://schemas.openxmlformats.org/officeDocument/2006/relationships/hyperlink" Target="https://docs.redhat.com/en/documentation/red_hat_openshift_gitops/1.20/html-single/argo_cd_application_sets" TargetMode="External"/><Relationship Id="rId156" Type="http://schemas.openxmlformats.org/officeDocument/2006/relationships/hyperlink" Target="https://docs.redhat.com/en/documentation/red_hat_openshift_gitops/1.20/html-single/argo_cd_application_sets" TargetMode="External"/><Relationship Id="rId157" Type="http://schemas.openxmlformats.org/officeDocument/2006/relationships/hyperlink" Target="https://docs.redhat.com/en/documentation/red_hat_openshift_gitops/1.20/html-single/argo_cd_application_sets" TargetMode="External"/><Relationship Id="rId158" Type="http://schemas.openxmlformats.org/officeDocument/2006/relationships/hyperlink" Target="https://docs.redhat.com/en/documentation/red_hat_openshift_gitops/1.20/html-single/argo_cd_application_sets" TargetMode="External"/><Relationship Id="rId159" Type="http://schemas.openxmlformats.org/officeDocument/2006/relationships/hyperlink" Target="https://docs.redhat.com/en/documentation/red_hat_openshift_gitops/1.20/html-single/argo_cd_application_sets" TargetMode="External"/><Relationship Id="rId160" Type="http://schemas.openxmlformats.org/officeDocument/2006/relationships/hyperlink" Target="https://docs.redhat.com/en/documentation/red_hat_openshift_gitops/1.20/html-single/argo_cd_application_sets" TargetMode="External"/><Relationship Id="rId161" Type="http://schemas.openxmlformats.org/officeDocument/2006/relationships/hyperlink" Target="https://docs.redhat.com/en/documentation/red_hat_openshift_gitops/1.20/html-single/argo_cd_application_sets" TargetMode="External"/><Relationship Id="rId162" Type="http://schemas.openxmlformats.org/officeDocument/2006/relationships/hyperlink" Target="https://docs.redhat.com/en/documentation/red_hat_openshift_gitops/1.20/html-single/argo_cd_application_sets" TargetMode="External"/><Relationship Id="rId163" Type="http://schemas.openxmlformats.org/officeDocument/2006/relationships/hyperlink" Target="https://docs.redhat.com/en/documentation/red_hat_openshift_gitops/1.20/html-single/argo_cd_application_sets" TargetMode="External"/><Relationship Id="rId164" Type="http://schemas.openxmlformats.org/officeDocument/2006/relationships/hyperlink" Target="https://docs.redhat.com/en/documentation/red_hat_openshift_gitops/1.20/html-single/argo_cd_application_sets" TargetMode="External"/><Relationship Id="rId165" Type="http://schemas.openxmlformats.org/officeDocument/2006/relationships/hyperlink" Target="https://docs.redhat.com/en/documentation/red_hat_openshift_gitops/1.20/html-single/argo_cd_application_sets" TargetMode="External"/><Relationship Id="rId166" Type="http://schemas.openxmlformats.org/officeDocument/2006/relationships/hyperlink" Target="https://docs.redhat.com/en/documentation/red_hat_openshift_gitops/1.20/html-single/argo_cd_application_sets" TargetMode="External"/><Relationship Id="rId167" Type="http://schemas.openxmlformats.org/officeDocument/2006/relationships/hyperlink" Target="https://docs.redhat.com/en/documentation/red_hat_openshift_gitops/1.20/html-single/argo_cd_application_sets" TargetMode="External"/><Relationship Id="rId168" Type="http://schemas.openxmlformats.org/officeDocument/2006/relationships/hyperlink" Target="https://docs.redhat.com/en/documentation/red_hat_openshift_gitops/1.20/html-single/argo_cd_application_sets" TargetMode="External"/><Relationship Id="rId169" Type="http://schemas.openxmlformats.org/officeDocument/2006/relationships/hyperlink" Target="https://docs.redhat.com/en/documentation/red_hat_openshift_gitops/1.20/html-single/argo_cd_application_sets" TargetMode="External"/><Relationship Id="rId170" Type="http://schemas.openxmlformats.org/officeDocument/2006/relationships/hyperlink" Target="https://docs.redhat.com/en/documentation/red_hat_openshift_gitops/1.20/html-single/argo_cd_application_sets" TargetMode="External"/><Relationship Id="rId171" Type="http://schemas.openxmlformats.org/officeDocument/2006/relationships/hyperlink" Target="https://docs.redhat.com/en/documentation/red_hat_openshift_gitops/1.20/html-single/multitenancy" TargetMode="External"/><Relationship Id="rId172" Type="http://schemas.openxmlformats.org/officeDocument/2006/relationships/hyperlink" Target="https://docs.redhat.com/en/documentation/red_hat_openshift_gitops/1.20/html-single/multitenancy" TargetMode="External"/><Relationship Id="rId173" Type="http://schemas.openxmlformats.org/officeDocument/2006/relationships/hyperlink" Target="https://docs.redhat.com/en/documentation/red_hat_openshift_gitops/1.20/html-single/multitenancy" TargetMode="External"/><Relationship Id="rId174" Type="http://schemas.openxmlformats.org/officeDocument/2006/relationships/hyperlink" Target="https://docs.redhat.com/en/documentation/red_hat_openshift_gitops/1.20/html-single/multitenancy" TargetMode="External"/><Relationship Id="rId175" Type="http://schemas.openxmlformats.org/officeDocument/2006/relationships/hyperlink" Target="https://docs.redhat.com/en/documentation/red_hat_openshift_gitops/1.20/html-single/multitenancy" TargetMode="External"/><Relationship Id="rId176" Type="http://schemas.openxmlformats.org/officeDocument/2006/relationships/hyperlink" Target="https://docs.redhat.com/en/documentation/red_hat_openshift_gitops/1.20/html-single/multitenancy" TargetMode="External"/><Relationship Id="rId177" Type="http://schemas.openxmlformats.org/officeDocument/2006/relationships/hyperlink" Target="https://docs.redhat.com/en/documentation/red_hat_openshift_gitops/1.20/html-single/multitenancy" TargetMode="External"/><Relationship Id="rId178" Type="http://schemas.openxmlformats.org/officeDocument/2006/relationships/hyperlink" Target="https://docs.redhat.com/en/documentation/red_hat_openshift_gitops/1.20/html-single/multitenancy" TargetMode="External"/><Relationship Id="rId179" Type="http://schemas.openxmlformats.org/officeDocument/2006/relationships/hyperlink" Target="https://docs.redhat.com/en/documentation/red_hat_openshift_gitops/1.20/html-single/multitenancy" TargetMode="External"/><Relationship Id="rId180" Type="http://schemas.openxmlformats.org/officeDocument/2006/relationships/hyperlink" Target="https://docs.redhat.com/en/documentation/red_hat_openshift_gitops/1.20/html-single/multitenancy" TargetMode="External"/><Relationship Id="rId181" Type="http://schemas.openxmlformats.org/officeDocument/2006/relationships/hyperlink" Target="https://docs.redhat.com/en/documentation/red_hat_openshift_gitops/1.20/html-single/multitenancy" TargetMode="External"/><Relationship Id="rId182" Type="http://schemas.openxmlformats.org/officeDocument/2006/relationships/hyperlink" Target="https://docs.redhat.com/en/documentation/red_hat_openshift_gitops/1.20/html-single/multitenancy" TargetMode="External"/><Relationship Id="rId183" Type="http://schemas.openxmlformats.org/officeDocument/2006/relationships/hyperlink" Target="https://docs.redhat.com/en/documentation/red_hat_openshift_gitops/1.20/html-single/multitenancy" TargetMode="External"/><Relationship Id="rId184" Type="http://schemas.openxmlformats.org/officeDocument/2006/relationships/hyperlink" Target="https://docs.redhat.com/en/documentation/red_hat_openshift_gitops/1.20/html-single/declarative_cluster_configuration" TargetMode="External"/><Relationship Id="rId185" Type="http://schemas.openxmlformats.org/officeDocument/2006/relationships/hyperlink" Target="https://docs.redhat.com/en/documentation/red_hat_openshift_gitops/1.20/html-single/declarative_cluster_configuration" TargetMode="External"/><Relationship Id="rId186" Type="http://schemas.openxmlformats.org/officeDocument/2006/relationships/hyperlink" Target="https://docs.redhat.com/en/documentation/red_hat_openshift_gitops/1.20/html-single/declarative_cluster_configuration" TargetMode="External"/><Relationship Id="rId187" Type="http://schemas.openxmlformats.org/officeDocument/2006/relationships/hyperlink" Target="https://docs.redhat.com/en/documentation/red_hat_openshift_gitops/1.20/html-single/declarative_cluster_configuration" TargetMode="External"/><Relationship Id="rId188" Type="http://schemas.openxmlformats.org/officeDocument/2006/relationships/hyperlink" Target="https://docs.redhat.com/en/documentation/red_hat_openshift_gitops/1.20/html-single/declarative_cluster_configuration" TargetMode="External"/><Relationship Id="rId189" Type="http://schemas.openxmlformats.org/officeDocument/2006/relationships/hyperlink" Target="https://docs.redhat.com/en/documentation/red_hat_openshift_gitops/1.20/html-single/declarative_cluster_configuration" TargetMode="External"/><Relationship Id="rId190" Type="http://schemas.openxmlformats.org/officeDocument/2006/relationships/hyperlink" Target="https://docs.redhat.com/en/documentation/red_hat_openshift_gitops/1.20/html-single/declarative_cluster_configuration" TargetMode="External"/><Relationship Id="rId191" Type="http://schemas.openxmlformats.org/officeDocument/2006/relationships/hyperlink" Target="https://docs.redhat.com/en/documentation/red_hat_openshift_gitops/1.20/html-single/declarative_cluster_configuration" TargetMode="External"/><Relationship Id="rId192" Type="http://schemas.openxmlformats.org/officeDocument/2006/relationships/hyperlink" Target="https://docs.redhat.com/en/documentation/red_hat_openshift_gitops/1.20/html-single/declarative_cluster_configuration" TargetMode="External"/><Relationship Id="rId193" Type="http://schemas.openxmlformats.org/officeDocument/2006/relationships/hyperlink" Target="https://docs.redhat.com/en/documentation/red_hat_openshift_gitops/1.20/html-single/declarative_cluster_configuration" TargetMode="External"/><Relationship Id="rId194" Type="http://schemas.openxmlformats.org/officeDocument/2006/relationships/hyperlink" Target="https://docs.redhat.com/en/documentation/red_hat_openshift_gitops/1.20/html-single/declarative_cluster_configuration" TargetMode="External"/><Relationship Id="rId195" Type="http://schemas.openxmlformats.org/officeDocument/2006/relationships/hyperlink" Target="https://docs.redhat.com/en/documentation/red_hat_openshift_gitops/1.20/html-single/declarative_cluster_configuration" TargetMode="External"/><Relationship Id="rId196" Type="http://schemas.openxmlformats.org/officeDocument/2006/relationships/hyperlink" Target="https://docs.redhat.com/en/documentation/red_hat_openshift_gitops/1.20/html-single/declarative_cluster_configuration" TargetMode="External"/><Relationship Id="rId197" Type="http://schemas.openxmlformats.org/officeDocument/2006/relationships/hyperlink" Target="https://docs.redhat.com/en/documentation/red_hat_openshift_gitops/1.20/html-single/declarative_cluster_configuration" TargetMode="External"/><Relationship Id="rId198" Type="http://schemas.openxmlformats.org/officeDocument/2006/relationships/hyperlink" Target="https://docs.redhat.com/en/documentation/red_hat_openshift_gitops/1.20/html-single/declarative_cluster_configuration" TargetMode="External"/><Relationship Id="rId199" Type="http://schemas.openxmlformats.org/officeDocument/2006/relationships/hyperlink" Target="https://docs.redhat.com/en/documentation/red_hat_openshift_gitops/1.20/html-single/declarative_cluster_configuration" TargetMode="External"/><Relationship Id="rId200" Type="http://schemas.openxmlformats.org/officeDocument/2006/relationships/hyperlink" Target="https://docs.redhat.com/en/documentation/red_hat_openshift_gitops/1.20/html-single/declarative_cluster_configuration" TargetMode="External"/><Relationship Id="rId201" Type="http://schemas.openxmlformats.org/officeDocument/2006/relationships/hyperlink" Target="https://docs.redhat.com/en/documentation/red_hat_openshift_gitops/1.20/html-single/declarative_cluster_configuration" TargetMode="External"/><Relationship Id="rId202" Type="http://schemas.openxmlformats.org/officeDocument/2006/relationships/hyperlink" Target="https://docs.redhat.com/en/documentation/red_hat_openshift_gitops/1.20/html-single/declarative_cluster_configuration" TargetMode="External"/><Relationship Id="rId203" Type="http://schemas.openxmlformats.org/officeDocument/2006/relationships/hyperlink" Target="https://docs.redhat.com/en/documentation/red_hat_openshift_gitops/1.20/html-single/declarative_cluster_configuration" TargetMode="External"/><Relationship Id="rId204" Type="http://schemas.openxmlformats.org/officeDocument/2006/relationships/hyperlink" Target="https://docs.redhat.com/en/documentation/red_hat_openshift_gitops/1.20/html-single/declarative_cluster_configuration" TargetMode="External"/><Relationship Id="rId205" Type="http://schemas.openxmlformats.org/officeDocument/2006/relationships/hyperlink" Target="https://docs.redhat.com/en/documentation/red_hat_openshift_gitops/1.20/html-single/declarative_cluster_configuration" TargetMode="External"/><Relationship Id="rId206" Type="http://schemas.openxmlformats.org/officeDocument/2006/relationships/hyperlink" Target="https://docs.redhat.com/en/documentation/red_hat_openshift_gitops/1.20/html-single/declarative_cluster_configuration" TargetMode="External"/><Relationship Id="rId207" Type="http://schemas.openxmlformats.org/officeDocument/2006/relationships/hyperlink" Target="https://docs.redhat.com/en/documentation/red_hat_openshift_gitops/1.20/html-single/declarative_cluster_configuration" TargetMode="External"/><Relationship Id="rId208" Type="http://schemas.openxmlformats.org/officeDocument/2006/relationships/hyperlink" Target="https://docs.redhat.com/en/documentation/red_hat_openshift_gitops/1.20/html-single/declarative_cluster_configuration" TargetMode="External"/><Relationship Id="rId209" Type="http://schemas.openxmlformats.org/officeDocument/2006/relationships/hyperlink" Target="https://docs.redhat.com/en/documentation/red_hat_openshift_gitops/1.20/html-single/declarative_cluster_configuration" TargetMode="External"/><Relationship Id="rId210" Type="http://schemas.openxmlformats.org/officeDocument/2006/relationships/hyperlink" Target="https://docs.redhat.com/en/documentation/red_hat_openshift_gitops/1.20/html-single/declarative_cluster_configuration" TargetMode="External"/><Relationship Id="rId211" Type="http://schemas.openxmlformats.org/officeDocument/2006/relationships/hyperlink" Target="https://docs.redhat.com/en/documentation/red_hat_openshift_gitops/1.20/html-single/declarative_cluster_configuration" TargetMode="External"/><Relationship Id="rId212" Type="http://schemas.openxmlformats.org/officeDocument/2006/relationships/hyperlink" Target="https://docs.redhat.com/en/documentation/red_hat_openshift_gitops/1.20/html-single/declarative_cluster_configuration" TargetMode="External"/><Relationship Id="rId213" Type="http://schemas.openxmlformats.org/officeDocument/2006/relationships/hyperlink" Target="https://docs.redhat.com/en/documentation/red_hat_openshift_gitops/1.20/html-single/declarative_cluster_configuration" TargetMode="External"/><Relationship Id="rId214" Type="http://schemas.openxmlformats.org/officeDocument/2006/relationships/hyperlink" Target="https://docs.redhat.com/en/documentation/red_hat_openshift_gitops/1.20/html-single/declarative_cluster_configuration" TargetMode="External"/><Relationship Id="rId215" Type="http://schemas.openxmlformats.org/officeDocument/2006/relationships/hyperlink" Target="https://docs.redhat.com/en/documentation/red_hat_openshift_gitops/1.20/html-single/declarative_cluster_configuration" TargetMode="External"/><Relationship Id="rId216" Type="http://schemas.openxmlformats.org/officeDocument/2006/relationships/hyperlink" Target="https://docs.redhat.com/en/documentation/red_hat_openshift_gitops/1.20/html-single/declarative_cluster_configuration" TargetMode="External"/><Relationship Id="rId217" Type="http://schemas.openxmlformats.org/officeDocument/2006/relationships/hyperlink" Target="https://docs.redhat.com/en/documentation/red_hat_openshift_gitops/1.20/html-single/declarative_cluster_configuration" TargetMode="External"/><Relationship Id="rId218" Type="http://schemas.openxmlformats.org/officeDocument/2006/relationships/hyperlink" Target="https://docs.redhat.com/en/documentation/red_hat_openshift_gitops/1.20/html-single/declarative_cluster_configuration" TargetMode="External"/><Relationship Id="rId219" Type="http://schemas.openxmlformats.org/officeDocument/2006/relationships/hyperlink" Target="https://docs.redhat.com/en/documentation/red_hat_openshift_gitops/1.20/html-single/declarative_cluster_configuration" TargetMode="External"/><Relationship Id="rId220" Type="http://schemas.openxmlformats.org/officeDocument/2006/relationships/hyperlink" Target="https://docs.redhat.com/en/documentation/red_hat_openshift_gitops/1.20/html-single/declarative_cluster_configuration" TargetMode="External"/><Relationship Id="rId221" Type="http://schemas.openxmlformats.org/officeDocument/2006/relationships/hyperlink" Target="https://docs.redhat.com/en/documentation/red_hat_openshift_gitops/1.20/html-single/declarative_cluster_configuration" TargetMode="External"/><Relationship Id="rId222" Type="http://schemas.openxmlformats.org/officeDocument/2006/relationships/hyperlink" Target="https://docs.redhat.com/en/documentation/red_hat_openshift_gitops/1.20/html-single/declarative_cluster_configuration" TargetMode="External"/><Relationship Id="rId223" Type="http://schemas.openxmlformats.org/officeDocument/2006/relationships/hyperlink" Target="https://docs.redhat.com/en/documentation/red_hat_openshift_gitops/1.20/html-single/declarative_cluster_configuration" TargetMode="External"/><Relationship Id="rId224" Type="http://schemas.openxmlformats.org/officeDocument/2006/relationships/hyperlink" Target="https://docs.redhat.com/en/documentation/red_hat_openshift_gitops/1.20/html-single/declarative_cluster_configuration" TargetMode="External"/><Relationship Id="rId225" Type="http://schemas.openxmlformats.org/officeDocument/2006/relationships/hyperlink" Target="https://docs.redhat.com/en/documentation/red_hat_openshift_gitops/1.20/html-single/declarative_cluster_configuration" TargetMode="External"/><Relationship Id="rId226" Type="http://schemas.openxmlformats.org/officeDocument/2006/relationships/hyperlink" Target="https://docs.redhat.com/en/documentation/red_hat_openshift_gitops/1.20/html-single/declarative_cluster_configuration" TargetMode="External"/><Relationship Id="rId227" Type="http://schemas.openxmlformats.org/officeDocument/2006/relationships/hyperlink" Target="https://docs.redhat.com/en/documentation/red_hat_openshift_gitops/1.20/html-single/declarative_cluster_configuration" TargetMode="External"/><Relationship Id="rId228" Type="http://schemas.openxmlformats.org/officeDocument/2006/relationships/hyperlink" Target="https://docs.redhat.com/en/documentation/red_hat_openshift_gitops/1.20/html-single/argo_cd_agent_architecture" TargetMode="External"/><Relationship Id="rId229" Type="http://schemas.openxmlformats.org/officeDocument/2006/relationships/hyperlink" Target="https://docs.redhat.com/en/documentation/red_hat_openshift_gitops/1.20/html-single/argo_cd_agent_architecture" TargetMode="External"/><Relationship Id="rId230" Type="http://schemas.openxmlformats.org/officeDocument/2006/relationships/hyperlink" Target="https://docs.redhat.com/en/documentation/red_hat_openshift_gitops/1.20/html-single/argo_cd_agent_architecture" TargetMode="External"/><Relationship Id="rId231" Type="http://schemas.openxmlformats.org/officeDocument/2006/relationships/hyperlink" Target="https://docs.redhat.com/en/documentation/red_hat_openshift_gitops/1.20/html-single/argo_cd_agent_architecture" TargetMode="External"/><Relationship Id="rId232" Type="http://schemas.openxmlformats.org/officeDocument/2006/relationships/hyperlink" Target="https://docs.redhat.com/en/documentation/red_hat_openshift_gitops/1.20/html-single/argo_cd_agent_architecture" TargetMode="External"/><Relationship Id="rId233" Type="http://schemas.openxmlformats.org/officeDocument/2006/relationships/hyperlink" Target="https://docs.redhat.com/en/documentation/red_hat_openshift_gitops/1.20/html-single/argo_cd_agent_architecture" TargetMode="External"/><Relationship Id="rId234" Type="http://schemas.openxmlformats.org/officeDocument/2006/relationships/hyperlink" Target="https://docs.redhat.com/en/documentation/red_hat_openshift_gitops/1.20/html-single/argo_cd_agent_architecture" TargetMode="External"/><Relationship Id="rId235" Type="http://schemas.openxmlformats.org/officeDocument/2006/relationships/hyperlink" Target="https://docs.redhat.com/en/documentation/red_hat_openshift_gitops/1.20/html-single/argo_cd_agent_architecture" TargetMode="External"/><Relationship Id="rId236" Type="http://schemas.openxmlformats.org/officeDocument/2006/relationships/hyperlink" Target="https://docs.redhat.com/en/documentation/red_hat_openshift_gitops/1.20/html-single/argo_cd_agent_architecture" TargetMode="External"/><Relationship Id="rId237" Type="http://schemas.openxmlformats.org/officeDocument/2006/relationships/hyperlink" Target="https://docs.redhat.com/en/documentation/red_hat_openshift_gitops/1.20/html-single/argo_cd_agent_architecture" TargetMode="External"/><Relationship Id="rId238" Type="http://schemas.openxmlformats.org/officeDocument/2006/relationships/hyperlink" Target="https://docs.redhat.com/en/documentation/red_hat_openshift_gitops/1.20/html-single/argo_cd_agent_architecture" TargetMode="External"/><Relationship Id="rId239" Type="http://schemas.openxmlformats.org/officeDocument/2006/relationships/hyperlink" Target="https://docs.redhat.com/en/documentation/red_hat_openshift_gitops/1.20/html-single/argo_cd_agent_architecture" TargetMode="External"/><Relationship Id="rId240" Type="http://schemas.openxmlformats.org/officeDocument/2006/relationships/hyperlink" Target="https://docs.redhat.com/en/documentation/red_hat_openshift_gitops/1.20/html-single/argo_cd_agent_architecture" TargetMode="External"/><Relationship Id="rId241" Type="http://schemas.openxmlformats.org/officeDocument/2006/relationships/hyperlink" Target="https://docs.redhat.com/en/documentation/red_hat_openshift_gitops/1.20/html-single/argo_cd_agent_architecture" TargetMode="External"/><Relationship Id="rId242" Type="http://schemas.openxmlformats.org/officeDocument/2006/relationships/hyperlink" Target="https://docs.redhat.com/en/documentation/red_hat_openshift_gitops/1.20/html-single/argo_cd_agent_installation" TargetMode="External"/><Relationship Id="rId243" Type="http://schemas.openxmlformats.org/officeDocument/2006/relationships/hyperlink" Target="https://docs.redhat.com/en/documentation/red_hat_openshift_gitops/1.20/html-single/argo_cd_agent_installation" TargetMode="External"/><Relationship Id="rId244" Type="http://schemas.openxmlformats.org/officeDocument/2006/relationships/hyperlink" Target="https://docs.redhat.com/en/documentation/red_hat_openshift_gitops/1.20/html-single/argo_cd_agent_installation" TargetMode="External"/><Relationship Id="rId245" Type="http://schemas.openxmlformats.org/officeDocument/2006/relationships/hyperlink" Target="https://docs.redhat.com/en/documentation/red_hat_openshift_gitops/1.20/html-single/argo_cd_agent_installation" TargetMode="External"/><Relationship Id="rId246" Type="http://schemas.openxmlformats.org/officeDocument/2006/relationships/hyperlink" Target="https://docs.redhat.com/en/documentation/red_hat_openshift_gitops/1.20/html-single/argo_cd_agent_installation" TargetMode="External"/><Relationship Id="rId247" Type="http://schemas.openxmlformats.org/officeDocument/2006/relationships/hyperlink" Target="https://docs.redhat.com/en/documentation/red_hat_openshift_gitops/1.20/html-single/argo_cd_agent_installation" TargetMode="External"/><Relationship Id="rId248" Type="http://schemas.openxmlformats.org/officeDocument/2006/relationships/hyperlink" Target="https://docs.redhat.com/en/documentation/red_hat_openshift_gitops/1.20/html-single/argo_cd_agent_installation" TargetMode="External"/><Relationship Id="rId249" Type="http://schemas.openxmlformats.org/officeDocument/2006/relationships/hyperlink" Target="https://docs.redhat.com/en/documentation/red_hat_openshift_gitops/1.20/html-single/argo_cd_agent_installation" TargetMode="External"/><Relationship Id="rId250" Type="http://schemas.openxmlformats.org/officeDocument/2006/relationships/hyperlink" Target="https://docs.redhat.com/en/documentation/red_hat_openshift_gitops/1.20/html-single/argo_cd_agent_installation" TargetMode="External"/><Relationship Id="rId251" Type="http://schemas.openxmlformats.org/officeDocument/2006/relationships/hyperlink" Target="https://docs.redhat.com/en/documentation/red_hat_openshift_gitops/1.20/html-single/argo_cd_agent_installation" TargetMode="External"/><Relationship Id="rId252" Type="http://schemas.openxmlformats.org/officeDocument/2006/relationships/hyperlink" Target="https://docs.redhat.com/en/documentation/red_hat_openshift_gitops/1.20/html-single/argo_cd_agent_installation" TargetMode="External"/><Relationship Id="rId253" Type="http://schemas.openxmlformats.org/officeDocument/2006/relationships/hyperlink" Target="https://docs.redhat.com/en/documentation/red_hat_openshift_gitops/1.20/html-single/argo_cd_agent_installation" TargetMode="External"/><Relationship Id="rId254" Type="http://schemas.openxmlformats.org/officeDocument/2006/relationships/hyperlink" Target="https://docs.redhat.com/en/documentation/red_hat_openshift_gitops/1.20/html-single/argo_cd_agent_installation" TargetMode="External"/><Relationship Id="rId255" Type="http://schemas.openxmlformats.org/officeDocument/2006/relationships/hyperlink" Target="https://docs.redhat.com/en/documentation/red_hat_openshift_gitops/1.20/html-single/argo_cd_agent_installation" TargetMode="External"/><Relationship Id="rId256" Type="http://schemas.openxmlformats.org/officeDocument/2006/relationships/hyperlink" Target="https://docs.redhat.com/en/documentation/red_hat_openshift_gitops/1.20/html-single/argo_cd_agent_installation" TargetMode="External"/><Relationship Id="rId257" Type="http://schemas.openxmlformats.org/officeDocument/2006/relationships/hyperlink" Target="https://docs.redhat.com/en/documentation/red_hat_openshift_gitops/1.20/html-single/argo_cd_agent_installation" TargetMode="External"/><Relationship Id="rId258" Type="http://schemas.openxmlformats.org/officeDocument/2006/relationships/hyperlink" Target="https://docs.redhat.com/en/documentation/red_hat_openshift_gitops/1.20/html-single/argo_cd_agent_installation" TargetMode="External"/><Relationship Id="rId259" Type="http://schemas.openxmlformats.org/officeDocument/2006/relationships/hyperlink" Target="https://docs.redhat.com/en/documentation/red_hat_openshift_gitops/1.20/html-single/argo_cd_agent_installation" TargetMode="External"/><Relationship Id="rId260" Type="http://schemas.openxmlformats.org/officeDocument/2006/relationships/hyperlink" Target="https://docs.redhat.com/en/documentation/red_hat_openshift_gitops/1.20/html-single/argo_rollouts" TargetMode="External"/><Relationship Id="rId261" Type="http://schemas.openxmlformats.org/officeDocument/2006/relationships/hyperlink" Target="https://docs.redhat.com/en/documentation/red_hat_openshift_gitops/1.20/html-single/argo_rollouts" TargetMode="External"/><Relationship Id="rId262" Type="http://schemas.openxmlformats.org/officeDocument/2006/relationships/hyperlink" Target="https://docs.redhat.com/en/documentation/red_hat_openshift_gitops/1.20/html-single/argo_rollouts" TargetMode="External"/><Relationship Id="rId263" Type="http://schemas.openxmlformats.org/officeDocument/2006/relationships/hyperlink" Target="https://docs.redhat.com/en/documentation/red_hat_openshift_gitops/1.20/html-single/argo_rollouts" TargetMode="External"/><Relationship Id="rId264" Type="http://schemas.openxmlformats.org/officeDocument/2006/relationships/hyperlink" Target="https://docs.redhat.com/en/documentation/red_hat_openshift_gitops/1.20/html-single/argo_rollouts" TargetMode="External"/><Relationship Id="rId265" Type="http://schemas.openxmlformats.org/officeDocument/2006/relationships/hyperlink" Target="https://docs.redhat.com/en/documentation/red_hat_openshift_gitops/1.20/html-single/argo_rollouts" TargetMode="External"/><Relationship Id="rId266" Type="http://schemas.openxmlformats.org/officeDocument/2006/relationships/hyperlink" Target="https://docs.redhat.com/en/documentation/red_hat_openshift_gitops/1.20/html-single/argo_rollouts" TargetMode="External"/><Relationship Id="rId267" Type="http://schemas.openxmlformats.org/officeDocument/2006/relationships/hyperlink" Target="https://docs.redhat.com/en/documentation/red_hat_openshift_gitops/1.20/html-single/argo_rollouts" TargetMode="External"/><Relationship Id="rId268" Type="http://schemas.openxmlformats.org/officeDocument/2006/relationships/hyperlink" Target="https://docs.redhat.com/en/documentation/red_hat_openshift_gitops/1.20/html-single/argo_rollouts" TargetMode="External"/><Relationship Id="rId269" Type="http://schemas.openxmlformats.org/officeDocument/2006/relationships/hyperlink" Target="https://docs.redhat.com/en/documentation/red_hat_openshift_gitops/1.20/html-single/argo_rollouts" TargetMode="External"/><Relationship Id="rId270" Type="http://schemas.openxmlformats.org/officeDocument/2006/relationships/hyperlink" Target="https://docs.redhat.com/en/documentation/red_hat_openshift_gitops/1.20/html-single/argo_rollouts" TargetMode="External"/><Relationship Id="rId271" Type="http://schemas.openxmlformats.org/officeDocument/2006/relationships/hyperlink" Target="https://docs.redhat.com/en/documentation/red_hat_openshift_gitops/1.20/html-single/argo_rollouts" TargetMode="External"/><Relationship Id="rId272" Type="http://schemas.openxmlformats.org/officeDocument/2006/relationships/hyperlink" Target="https://docs.redhat.com/en/documentation/red_hat_openshift_gitops/1.20/html-single/argo_rollouts" TargetMode="External"/><Relationship Id="rId273" Type="http://schemas.openxmlformats.org/officeDocument/2006/relationships/hyperlink" Target="https://docs.redhat.com/en/documentation/red_hat_openshift_gitops/1.20/html-single/argo_rollouts" TargetMode="External"/><Relationship Id="rId274" Type="http://schemas.openxmlformats.org/officeDocument/2006/relationships/hyperlink" Target="https://docs.redhat.com/en/documentation/red_hat_openshift_gitops/1.20/html-single/argo_rollouts" TargetMode="External"/><Relationship Id="rId275" Type="http://schemas.openxmlformats.org/officeDocument/2006/relationships/hyperlink" Target="https://docs.redhat.com/en/documentation/red_hat_openshift_gitops/1.20/html-single/argo_rollouts" TargetMode="External"/><Relationship Id="rId276" Type="http://schemas.openxmlformats.org/officeDocument/2006/relationships/hyperlink" Target="https://docs.redhat.com/en/documentation/red_hat_openshift_gitops/1.20/html-single/argo_rollouts" TargetMode="External"/><Relationship Id="rId277" Type="http://schemas.openxmlformats.org/officeDocument/2006/relationships/hyperlink" Target="https://docs.redhat.com/en/documentation/red_hat_openshift_gitops/1.20/html-single/argo_rollouts" TargetMode="External"/><Relationship Id="rId278" Type="http://schemas.openxmlformats.org/officeDocument/2006/relationships/hyperlink" Target="https://docs.redhat.com/en/documentation/red_hat_openshift_gitops/1.20/html-single/argo_rollouts" TargetMode="External"/><Relationship Id="rId279" Type="http://schemas.openxmlformats.org/officeDocument/2006/relationships/hyperlink" Target="https://docs.redhat.com/en/documentation/red_hat_openshift_gitops/1.20/html-single/argo_rollouts" TargetMode="External"/><Relationship Id="rId280" Type="http://schemas.openxmlformats.org/officeDocument/2006/relationships/hyperlink" Target="https://docs.redhat.com/en/documentation/red_hat_openshift_gitops/1.20/html-single/argo_rollouts" TargetMode="External"/><Relationship Id="rId281" Type="http://schemas.openxmlformats.org/officeDocument/2006/relationships/hyperlink" Target="https://docs.redhat.com/en/documentation/red_hat_openshift_gitops/1.20/html-single/argo_rollouts" TargetMode="External"/><Relationship Id="rId282" Type="http://schemas.openxmlformats.org/officeDocument/2006/relationships/hyperlink" Target="https://docs.redhat.com/en/documentation/red_hat_openshift_gitops/1.20/html-single/argo_rollouts" TargetMode="External"/><Relationship Id="rId283" Type="http://schemas.openxmlformats.org/officeDocument/2006/relationships/hyperlink" Target="https://docs.redhat.com/en/documentation/red_hat_openshift_gitops/1.20/html-single/argo_rollouts" TargetMode="External"/><Relationship Id="rId284" Type="http://schemas.openxmlformats.org/officeDocument/2006/relationships/hyperlink" Target="https://docs.redhat.com/en/documentation/red_hat_openshift_gitops/1.20/html-single/argo_rollouts" TargetMode="External"/><Relationship Id="rId285" Type="http://schemas.openxmlformats.org/officeDocument/2006/relationships/hyperlink" Target="https://docs.redhat.com/en/documentation/red_hat_openshift_gitops/1.20/html-single/argo_rollouts" TargetMode="External"/><Relationship Id="rId286" Type="http://schemas.openxmlformats.org/officeDocument/2006/relationships/hyperlink" Target="https://docs.redhat.com/en/documentation/red_hat_openshift_gitops/1.20/html-single/argo_rollouts" TargetMode="External"/><Relationship Id="rId287" Type="http://schemas.openxmlformats.org/officeDocument/2006/relationships/hyperlink" Target="https://docs.redhat.com/en/documentation/red_hat_openshift_gitops/1.20/html-single/argo_rollouts" TargetMode="External"/><Relationship Id="rId288" Type="http://schemas.openxmlformats.org/officeDocument/2006/relationships/hyperlink" Target="https://docs.redhat.com/en/documentation/red_hat_openshift_gitops/1.20/html-single/argo_rollouts" TargetMode="External"/><Relationship Id="rId289" Type="http://schemas.openxmlformats.org/officeDocument/2006/relationships/hyperlink" Target="https://docs.redhat.com/en/documentation/red_hat_openshift_gitops/1.20/html-single/argo_rollouts" TargetMode="External"/><Relationship Id="rId290" Type="http://schemas.openxmlformats.org/officeDocument/2006/relationships/hyperlink" Target="https://docs.redhat.com/en/documentation/red_hat_openshift_gitops/1.20/html-single/argo_rollouts" TargetMode="External"/><Relationship Id="rId291" Type="http://schemas.openxmlformats.org/officeDocument/2006/relationships/hyperlink" Target="https://docs.redhat.com/en/documentation/red_hat_openshift_gitops/1.20/html-single/argo_rollouts" TargetMode="External"/><Relationship Id="rId292" Type="http://schemas.openxmlformats.org/officeDocument/2006/relationships/hyperlink" Target="https://docs.redhat.com/en/documentation/red_hat_openshift_gitops/1.20/html-single/argo_rollouts" TargetMode="External"/><Relationship Id="rId293" Type="http://schemas.openxmlformats.org/officeDocument/2006/relationships/hyperlink" Target="https://docs.redhat.com/en/documentation/red_hat_openshift_gitops/1.20/html-single/argo_rollouts" TargetMode="External"/><Relationship Id="rId294" Type="http://schemas.openxmlformats.org/officeDocument/2006/relationships/hyperlink" Target="https://docs.redhat.com/en/documentation/red_hat_openshift_gitops/1.20/html-single/argo_rollouts" TargetMode="External"/><Relationship Id="rId295" Type="http://schemas.openxmlformats.org/officeDocument/2006/relationships/hyperlink" Target="https://docs.redhat.com/en/documentation/red_hat_openshift_gitops/1.20/html-single/argo_rollouts" TargetMode="External"/><Relationship Id="rId296" Type="http://schemas.openxmlformats.org/officeDocument/2006/relationships/hyperlink" Target="https://docs.redhat.com/en/documentation/red_hat_openshift_gitops/1.20/html-single/argo_rollouts" TargetMode="External"/><Relationship Id="rId297" Type="http://schemas.openxmlformats.org/officeDocument/2006/relationships/hyperlink" Target="https://docs.redhat.com/en/documentation/red_hat_openshift_gitops/1.20/html-single/argo_rollouts" TargetMode="External"/><Relationship Id="rId298" Type="http://schemas.openxmlformats.org/officeDocument/2006/relationships/hyperlink" Target="https://docs.redhat.com/en/documentation/red_hat_openshift_gitops/1.20/html-single/argo_rollouts" TargetMode="External"/><Relationship Id="rId299" Type="http://schemas.openxmlformats.org/officeDocument/2006/relationships/hyperlink" Target="https://docs.redhat.com/en/documentation/red_hat_openshift_gitops/1.20/html-single/argo_rollouts" TargetMode="External"/><Relationship Id="rId300" Type="http://schemas.openxmlformats.org/officeDocument/2006/relationships/hyperlink" Target="https://docs.redhat.com/en/documentation/red_hat_openshift_gitops/1.20/html-single/argo_rollouts" TargetMode="External"/><Relationship Id="rId301" Type="http://schemas.openxmlformats.org/officeDocument/2006/relationships/hyperlink" Target="https://docs.redhat.com/en/documentation/red_hat_openshift_gitops/1.20/html-single/argo_rollouts" TargetMode="External"/><Relationship Id="rId302" Type="http://schemas.openxmlformats.org/officeDocument/2006/relationships/hyperlink" Target="https://docs.redhat.com/en/documentation/red_hat_openshift_gitops/1.20/html-single/argo_rollouts" TargetMode="External"/><Relationship Id="rId303" Type="http://schemas.openxmlformats.org/officeDocument/2006/relationships/hyperlink" Target="https://docs.redhat.com/en/documentation/red_hat_openshift_gitops/1.20/html-single/argo_rollouts" TargetMode="External"/><Relationship Id="rId304" Type="http://schemas.openxmlformats.org/officeDocument/2006/relationships/hyperlink" Target="https://docs.redhat.com/en/documentation/red_hat_openshift_gitops/1.20/html-single/argo_rollouts" TargetMode="External"/><Relationship Id="rId305" Type="http://schemas.openxmlformats.org/officeDocument/2006/relationships/hyperlink" Target="https://docs.redhat.com/en/documentation/red_hat_openshift_gitops/1.20/html-single/argo_rollouts" TargetMode="External"/><Relationship Id="rId306" Type="http://schemas.openxmlformats.org/officeDocument/2006/relationships/hyperlink" Target="https://docs.redhat.com/en/documentation/red_hat_openshift_gitops/1.20/html-single/security" TargetMode="External"/><Relationship Id="rId307" Type="http://schemas.openxmlformats.org/officeDocument/2006/relationships/hyperlink" Target="https://docs.redhat.com/en/documentation/red_hat_openshift_gitops/1.20/html-single/security" TargetMode="External"/><Relationship Id="rId308" Type="http://schemas.openxmlformats.org/officeDocument/2006/relationships/hyperlink" Target="https://docs.redhat.com/en/documentation/red_hat_openshift_gitops/1.20/html-single/security" TargetMode="External"/><Relationship Id="rId309" Type="http://schemas.openxmlformats.org/officeDocument/2006/relationships/hyperlink" Target="https://docs.redhat.com/en/documentation/red_hat_openshift_gitops/1.20/html-single/security" TargetMode="External"/><Relationship Id="rId310" Type="http://schemas.openxmlformats.org/officeDocument/2006/relationships/hyperlink" Target="https://docs.redhat.com/en/documentation/red_hat_openshift_gitops/1.20/html-single/security" TargetMode="External"/><Relationship Id="rId311" Type="http://schemas.openxmlformats.org/officeDocument/2006/relationships/hyperlink" Target="https://docs.redhat.com/en/documentation/red_hat_openshift_gitops/1.20/html-single/security" TargetMode="External"/><Relationship Id="rId312" Type="http://schemas.openxmlformats.org/officeDocument/2006/relationships/hyperlink" Target="https://docs.redhat.com/en/documentation/red_hat_openshift_gitops/1.20/html-single/security" TargetMode="External"/><Relationship Id="rId313" Type="http://schemas.openxmlformats.org/officeDocument/2006/relationships/hyperlink" Target="https://docs.redhat.com/en/documentation/red_hat_openshift_gitops/1.20/html-single/security" TargetMode="External"/><Relationship Id="rId314" Type="http://schemas.openxmlformats.org/officeDocument/2006/relationships/hyperlink" Target="https://docs.redhat.com/en/documentation/red_hat_openshift_gitops/1.20/html-single/security" TargetMode="External"/><Relationship Id="rId315" Type="http://schemas.openxmlformats.org/officeDocument/2006/relationships/hyperlink" Target="https://docs.redhat.com/en/documentation/red_hat_openshift_gitops/1.20/html-single/security" TargetMode="External"/><Relationship Id="rId316" Type="http://schemas.openxmlformats.org/officeDocument/2006/relationships/hyperlink" Target="https://docs.redhat.com/en/documentation/red_hat_openshift_gitops/1.20/html-single/security" TargetMode="External"/><Relationship Id="rId317" Type="http://schemas.openxmlformats.org/officeDocument/2006/relationships/hyperlink" Target="https://docs.redhat.com/en/documentation/red_hat_openshift_gitops/1.20/html-single/security" TargetMode="External"/><Relationship Id="rId318" Type="http://schemas.openxmlformats.org/officeDocument/2006/relationships/hyperlink" Target="https://docs.redhat.com/en/documentation/red_hat_openshift_gitops/1.20/html-single/security" TargetMode="External"/><Relationship Id="rId319" Type="http://schemas.openxmlformats.org/officeDocument/2006/relationships/hyperlink" Target="https://docs.redhat.com/en/documentation/red_hat_openshift_gitops/1.20/html-single/security" TargetMode="External"/><Relationship Id="rId320" Type="http://schemas.openxmlformats.org/officeDocument/2006/relationships/hyperlink" Target="https://docs.redhat.com/en/documentation/red_hat_openshift_gitops/1.20/html-single/security" TargetMode="External"/><Relationship Id="rId321" Type="http://schemas.openxmlformats.org/officeDocument/2006/relationships/hyperlink" Target="https://docs.redhat.com/en/documentation/red_hat_openshift_gitops/1.20/html-single/security" TargetMode="External"/><Relationship Id="rId322" Type="http://schemas.openxmlformats.org/officeDocument/2006/relationships/hyperlink" Target="https://docs.redhat.com/en/documentation/red_hat_openshift_gitops/1.20/html-single/security" TargetMode="External"/><Relationship Id="rId323" Type="http://schemas.openxmlformats.org/officeDocument/2006/relationships/hyperlink" Target="https://docs.redhat.com/en/documentation/red_hat_openshift_gitops/1.20/html-single/security" TargetMode="External"/><Relationship Id="rId324" Type="http://schemas.openxmlformats.org/officeDocument/2006/relationships/hyperlink" Target="https://docs.redhat.com/en/documentation/red_hat_openshift_gitops/1.20/html-single/security" TargetMode="External"/><Relationship Id="rId325" Type="http://schemas.openxmlformats.org/officeDocument/2006/relationships/hyperlink" Target="https://docs.redhat.com/en/documentation/red_hat_openshift_gitops/1.20/html-single/security" TargetMode="External"/><Relationship Id="rId326" Type="http://schemas.openxmlformats.org/officeDocument/2006/relationships/hyperlink" Target="https://docs.redhat.com/en/documentation/red_hat_openshift_gitops/1.20/html-single/security" TargetMode="External"/><Relationship Id="rId327" Type="http://schemas.openxmlformats.org/officeDocument/2006/relationships/hyperlink" Target="https://docs.redhat.com/en/documentation/red_hat_openshift_gitops/1.20/html-single/security" TargetMode="External"/><Relationship Id="rId328" Type="http://schemas.openxmlformats.org/officeDocument/2006/relationships/hyperlink" Target="https://docs.redhat.com/en/documentation/red_hat_openshift_gitops/1.20/html-single/security" TargetMode="External"/><Relationship Id="rId329" Type="http://schemas.openxmlformats.org/officeDocument/2006/relationships/hyperlink" Target="https://docs.redhat.com/en/documentation/red_hat_openshift_gitops/1.20/html-single/security" TargetMode="External"/><Relationship Id="rId330" Type="http://schemas.openxmlformats.org/officeDocument/2006/relationships/hyperlink" Target="https://docs.redhat.com/en/documentation/red_hat_openshift_gitops/1.20/html-single/gitops_cli_argocd_reference" TargetMode="External"/><Relationship Id="rId331" Type="http://schemas.openxmlformats.org/officeDocument/2006/relationships/hyperlink" Target="https://docs.redhat.com/en/documentation/red_hat_openshift_gitops/1.20/html-single/gitops_cli_argocd_reference" TargetMode="External"/><Relationship Id="rId332" Type="http://schemas.openxmlformats.org/officeDocument/2006/relationships/hyperlink" Target="https://docs.redhat.com/en/documentation/red_hat_openshift_gitops/1.20/html-single/gitops_cli_argocd_reference" TargetMode="External"/><Relationship Id="rId333" Type="http://schemas.openxmlformats.org/officeDocument/2006/relationships/hyperlink" Target="https://docs.redhat.com/en/documentation/red_hat_openshift_gitops/1.20/html-single/gitops_cli_argocd_reference" TargetMode="External"/><Relationship Id="rId334" Type="http://schemas.openxmlformats.org/officeDocument/2006/relationships/hyperlink" Target="https://docs.redhat.com/en/documentation/red_hat_openshift_gitops/1.20/html-single/gitops_cli_argocd_reference" TargetMode="External"/><Relationship Id="rId335" Type="http://schemas.openxmlformats.org/officeDocument/2006/relationships/hyperlink" Target="https://docs.redhat.com/en/documentation/red_hat_openshift_gitops/1.20/html-single/gitops_cli_argocd_reference" TargetMode="External"/><Relationship Id="rId336" Type="http://schemas.openxmlformats.org/officeDocument/2006/relationships/hyperlink" Target="https://docs.redhat.com/en/documentation/red_hat_openshift_gitops/1.20/html-single/gitops_cli_argocd_reference" TargetMode="External"/><Relationship Id="rId337" Type="http://schemas.openxmlformats.org/officeDocument/2006/relationships/hyperlink" Target="https://docs.redhat.com/en/documentation/red_hat_openshift_gitops/1.20/html-single/gitops_cli_argocd_reference" TargetMode="External"/><Relationship Id="rId338" Type="http://schemas.openxmlformats.org/officeDocument/2006/relationships/hyperlink" Target="https://docs.redhat.com/en/documentation/red_hat_openshift_gitops/1.20/html-single/gitops_cli_argocd_reference" TargetMode="External"/><Relationship Id="rId339" Type="http://schemas.openxmlformats.org/officeDocument/2006/relationships/hyperlink" Target="https://docs.redhat.com/en/documentation/red_hat_openshift_gitops/1.20/html-single/gitops_cli_argocd_reference" TargetMode="External"/><Relationship Id="rId340" Type="http://schemas.openxmlformats.org/officeDocument/2006/relationships/hyperlink" Target="https://docs.redhat.com/en/documentation/red_hat_openshift_gitops/1.20/html-single/gitops_cli_argocd_reference" TargetMode="External"/><Relationship Id="rId341" Type="http://schemas.openxmlformats.org/officeDocument/2006/relationships/hyperlink" Target="https://docs.redhat.com/en/documentation/red_hat_openshift_gitops/1.20/html-single/gitops_cli_argocd_reference" TargetMode="External"/><Relationship Id="rId342" Type="http://schemas.openxmlformats.org/officeDocument/2006/relationships/hyperlink" Target="https://docs.redhat.com/en/documentation/red_hat_openshift_gitops/1.20/html-single/gitops_cli_argocd_reference" TargetMode="External"/><Relationship Id="rId343" Type="http://schemas.openxmlformats.org/officeDocument/2006/relationships/hyperlink" Target="https://docs.redhat.com/en/documentation/red_hat_openshift_gitops/1.20/html-single/gitops_cli_argocd_reference" TargetMode="External"/><Relationship Id="rId344" Type="http://schemas.openxmlformats.org/officeDocument/2006/relationships/hyperlink" Target="https://docs.redhat.com/en/documentation/red_hat_openshift_gitops/1.20/html-single/gitops_cli_argocd_reference" TargetMode="External"/><Relationship Id="rId345" Type="http://schemas.openxmlformats.org/officeDocument/2006/relationships/hyperlink" Target="https://docs.redhat.com/en/documentation/red_hat_openshift_gitops/1.20/html-single/gitops_cli_argocd_reference" TargetMode="External"/><Relationship Id="rId346" Type="http://schemas.openxmlformats.org/officeDocument/2006/relationships/hyperlink" Target="https://docs.redhat.com/en/documentation/red_hat_openshift_gitops/1.20/html-single/gitops_cli_argocd_reference" TargetMode="External"/><Relationship Id="rId347" Type="http://schemas.openxmlformats.org/officeDocument/2006/relationships/hyperlink" Target="https://docs.redhat.com/en/documentation/red_hat_openshift_gitops/1.20/html-single/gitops_cli_argocd_reference" TargetMode="External"/><Relationship Id="rId348" Type="http://schemas.openxmlformats.org/officeDocument/2006/relationships/hyperlink" Target="https://docs.redhat.com/en/documentation/red_hat_openshift_gitops/1.20/html-single/gitops_cli_argocd_reference" TargetMode="External"/><Relationship Id="rId349" Type="http://schemas.openxmlformats.org/officeDocument/2006/relationships/hyperlink" Target="https://docs.redhat.com/en/documentation/red_hat_openshift_gitops/1.20/html-single/gitops_workloads_on_infrastructure_nodes" TargetMode="External"/><Relationship Id="rId350" Type="http://schemas.openxmlformats.org/officeDocument/2006/relationships/hyperlink" Target="https://docs.redhat.com/en/documentation/red_hat_openshift_gitops/1.20/html-single/gitops_workloads_on_infrastructure_nodes" TargetMode="External"/><Relationship Id="rId351" Type="http://schemas.openxmlformats.org/officeDocument/2006/relationships/hyperlink" Target="https://docs.redhat.com/en/documentation/red_hat_openshift_gitops/1.20/html-single/gitops_workloads_on_infrastructure_nodes" TargetMode="External"/><Relationship Id="rId352" Type="http://schemas.openxmlformats.org/officeDocument/2006/relationships/hyperlink" Target="https://docs.redhat.com/en/documentation/red_hat_openshift_gitops/1.20/html-single/gitops_workloads_on_infrastructure_nodes" TargetMode="External"/><Relationship Id="rId353" Type="http://schemas.openxmlformats.org/officeDocument/2006/relationships/hyperlink" Target="https://docs.redhat.com/en/documentation/red_hat_openshift_gitops/1.20/html-single/gitops_workloads_on_infrastructure_nodes" TargetMode="External"/><Relationship Id="rId354" Type="http://schemas.openxmlformats.org/officeDocument/2006/relationships/hyperlink" Target="https://docs.redhat.com/en/documentation/red_hat_openshift_gitops/1.20/html-single/gitops_workloads_on_infrastructure_nodes" TargetMode="External"/><Relationship Id="rId355" Type="http://schemas.openxmlformats.org/officeDocument/2006/relationships/hyperlink" Target="https://docs.redhat.com/en/documentation/red_hat_openshift_gitops/1.20/html-single/observability" TargetMode="External"/><Relationship Id="rId356" Type="http://schemas.openxmlformats.org/officeDocument/2006/relationships/hyperlink" Target="https://docs.redhat.com/en/documentation/red_hat_openshift_gitops/1.20/html-single/observability" TargetMode="External"/><Relationship Id="rId357" Type="http://schemas.openxmlformats.org/officeDocument/2006/relationships/hyperlink" Target="https://docs.redhat.com/en/documentation/red_hat_openshift_gitops/1.20/html-single/observability" TargetMode="External"/><Relationship Id="rId358" Type="http://schemas.openxmlformats.org/officeDocument/2006/relationships/hyperlink" Target="https://docs.redhat.com/en/documentation/red_hat_openshift_gitops/1.20/html-single/observability" TargetMode="External"/><Relationship Id="rId359" Type="http://schemas.openxmlformats.org/officeDocument/2006/relationships/hyperlink" Target="https://docs.redhat.com/en/documentation/red_hat_openshift_gitops/1.20/html-single/observability" TargetMode="External"/><Relationship Id="rId360" Type="http://schemas.openxmlformats.org/officeDocument/2006/relationships/hyperlink" Target="https://docs.redhat.com/en/documentation/red_hat_openshift_gitops/1.20/html-single/observability" TargetMode="External"/><Relationship Id="rId361" Type="http://schemas.openxmlformats.org/officeDocument/2006/relationships/hyperlink" Target="https://docs.redhat.com/en/documentation/red_hat_openshift_gitops/1.20/html-single/observability" TargetMode="External"/><Relationship Id="rId362" Type="http://schemas.openxmlformats.org/officeDocument/2006/relationships/hyperlink" Target="https://docs.redhat.com/en/documentation/red_hat_openshift_gitops/1.20/html-single/observability" TargetMode="External"/><Relationship Id="rId363" Type="http://schemas.openxmlformats.org/officeDocument/2006/relationships/hyperlink" Target="https://docs.redhat.com/en/documentation/red_hat_openshift_gitops/1.20/html-single/observability" TargetMode="External"/><Relationship Id="rId364" Type="http://schemas.openxmlformats.org/officeDocument/2006/relationships/hyperlink" Target="https://docs.redhat.com/en/documentation/red_hat_openshift_gitops/1.20/html-single/observability" TargetMode="External"/><Relationship Id="rId365" Type="http://schemas.openxmlformats.org/officeDocument/2006/relationships/hyperlink" Target="https://docs.redhat.com/en/documentation/red_hat_openshift_gitops/1.20/html-single/observability" TargetMode="External"/><Relationship Id="rId366" Type="http://schemas.openxmlformats.org/officeDocument/2006/relationships/hyperlink" Target="https://docs.redhat.com/en/documentation/red_hat_openshift_gitops/1.20/html-single/observability" TargetMode="External"/><Relationship Id="rId367" Type="http://schemas.openxmlformats.org/officeDocument/2006/relationships/hyperlink" Target="https://docs.redhat.com/en/documentation/red_hat_openshift_gitops/1.20/html-single/observability" TargetMode="External"/><Relationship Id="rId368" Type="http://schemas.openxmlformats.org/officeDocument/2006/relationships/hyperlink" Target="https://docs.redhat.com/en/documentation/red_hat_openshift_gitops/1.20/html-single/observability" TargetMode="External"/><Relationship Id="rId369" Type="http://schemas.openxmlformats.org/officeDocument/2006/relationships/hyperlink" Target="https://docs.redhat.com/en/documentation/red_hat_openshift_gitops/1.20/html-single/observability" TargetMode="External"/><Relationship Id="rId370" Type="http://schemas.openxmlformats.org/officeDocument/2006/relationships/hyperlink" Target="https://docs.redhat.com/en/documentation/red_hat_openshift_gitops/1.20/html-single/observability" TargetMode="External"/><Relationship Id="rId371" Type="http://schemas.openxmlformats.org/officeDocument/2006/relationships/hyperlink" Target="https://docs.redhat.com/en/documentation/red_hat_openshift_gitops/1.20/html-single/observability" TargetMode="External"/><Relationship Id="rId372" Type="http://schemas.openxmlformats.org/officeDocument/2006/relationships/hyperlink" Target="https://docs.redhat.com/en/documentation/red_hat_openshift_gitops/1.20/html-single/observability" TargetMode="External"/><Relationship Id="rId373" Type="http://schemas.openxmlformats.org/officeDocument/2006/relationships/hyperlink" Target="https://docs.redhat.com/en/documentation/red_hat_openshift_gitops/1.20/html-single/observability" TargetMode="External"/><Relationship Id="rId374" Type="http://schemas.openxmlformats.org/officeDocument/2006/relationships/hyperlink" Target="https://docs.redhat.com/en/documentation/red_hat_openshift_gitops/1.20/html-single/observability" TargetMode="External"/><Relationship Id="rId375" Type="http://schemas.openxmlformats.org/officeDocument/2006/relationships/hyperlink" Target="https://docs.redhat.com/en/documentation/red_hat_openshift_gitops/1.20/html-single/observability" TargetMode="External"/><Relationship Id="rId376" Type="http://schemas.openxmlformats.org/officeDocument/2006/relationships/hyperlink" Target="https://docs.redhat.com/en/documentation/red_hat_openshift_gitops/1.20/html-single/observability" TargetMode="External"/><Relationship Id="rId377" Type="http://schemas.openxmlformats.org/officeDocument/2006/relationships/hyperlink" Target="https://docs.redhat.com/en/documentation/red_hat_openshift_gitops/1.20/html-single/observability" TargetMode="External"/><Relationship Id="rId378" Type="http://schemas.openxmlformats.org/officeDocument/2006/relationships/hyperlink" Target="https://docs.redhat.com/en/documentation/red_hat_openshift_gitops/1.20/html-single/observability" TargetMode="External"/><Relationship Id="rId379" Type="http://schemas.openxmlformats.org/officeDocument/2006/relationships/hyperlink" Target="https://docs.redhat.com/en/documentation/red_hat_openshift_gitops/1.20/html-single/observability" TargetMode="External"/><Relationship Id="rId380" Type="http://schemas.openxmlformats.org/officeDocument/2006/relationships/hyperlink" Target="https://docs.redhat.com/en/documentation/red_hat_openshift_gitops/1.20/html-single/observability" TargetMode="External"/><Relationship Id="rId381" Type="http://schemas.openxmlformats.org/officeDocument/2006/relationships/hyperlink" Target="https://docs.redhat.com/en/documentation/red_hat_openshift_gitops/1.20/html-single/observability" TargetMode="External"/><Relationship Id="rId382" Type="http://schemas.openxmlformats.org/officeDocument/2006/relationships/hyperlink" Target="https://docs.redhat.com/en/documentation/red_hat_openshift_gitops/1.20/html-single/troubleshooting_issues" TargetMode="External"/><Relationship Id="rId383" Type="http://schemas.openxmlformats.org/officeDocument/2006/relationships/hyperlink" Target="https://docs.redhat.com/en/documentation/red_hat_openshift_gitops/1.20/html-single/troubleshooting_issues" TargetMode="External"/><Relationship Id="rId384" Type="http://schemas.openxmlformats.org/officeDocument/2006/relationships/hyperlink" Target="https://docs.redhat.com/en/documentation/red_hat_openshift_gitops/1.20/html-single/troubleshooting_issues" TargetMode="External"/><Relationship Id="rId385" Type="http://schemas.openxmlformats.org/officeDocument/2006/relationships/hyperlink" Target="https://docs.redhat.com/en/documentation/red_hat_openshift_gitops/1.20/html-single/troubleshooting_issues" TargetMode="External"/><Relationship Id="rId386" Type="http://schemas.openxmlformats.org/officeDocument/2006/relationships/hyperlink" Target="https://docs.redhat.com/en/documentation/red_hat_openshift_gitops/1.20/html-single/troubleshooting_issue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408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25.12"/>
    <col collapsed="false" customWidth="true" hidden="false" outlineLevel="0" max="2" min="2" style="0" width="27.5"/>
    <col collapsed="false" customWidth="true" hidden="false" outlineLevel="0" max="3" min="3" style="0" width="25.88"/>
    <col collapsed="false" customWidth="true" hidden="false" outlineLevel="0" max="4" min="4" style="0" width="27.5"/>
    <col collapsed="false" customWidth="true" hidden="false" outlineLevel="0" max="5" min="5" style="0" width="29.25"/>
    <col collapsed="false" customWidth="true" hidden="false" outlineLevel="0" max="6" min="6" style="0" width="27.88"/>
  </cols>
  <sheetData>
    <row r="1" customFormat="false" ht="15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5.7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.75" hidden="false" customHeight="false" outlineLevel="0" collapsed="false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customFormat="false" ht="15.75" hidden="false" customHeight="false" outlineLevel="0" collapsed="false">
      <c r="A4" s="5" t="s">
        <v>10</v>
      </c>
      <c r="B4" s="6" t="s">
        <v>11</v>
      </c>
      <c r="C4" s="7"/>
      <c r="D4" s="7"/>
      <c r="E4" s="7"/>
      <c r="F4" s="7"/>
      <c r="G4" s="7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15.75" hidden="false" customHeight="false" outlineLevel="0" collapsed="false">
      <c r="A5" s="2"/>
      <c r="B5" s="7"/>
      <c r="C5" s="6" t="s">
        <v>12</v>
      </c>
      <c r="D5" s="7"/>
      <c r="E5" s="7"/>
      <c r="F5" s="7"/>
      <c r="G5" s="7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customFormat="false" ht="15.75" hidden="false" customHeight="false" outlineLevel="0" collapsed="false">
      <c r="A6" s="2"/>
      <c r="B6" s="7"/>
      <c r="C6" s="6" t="s">
        <v>13</v>
      </c>
      <c r="D6" s="7"/>
      <c r="E6" s="7"/>
      <c r="F6" s="7"/>
      <c r="G6" s="7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customFormat="false" ht="15.75" hidden="false" customHeight="false" outlineLevel="0" collapsed="false">
      <c r="A7" s="2"/>
      <c r="B7" s="7"/>
      <c r="C7" s="7"/>
      <c r="D7" s="6" t="s">
        <v>14</v>
      </c>
      <c r="E7" s="7"/>
      <c r="F7" s="7"/>
      <c r="G7" s="7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customFormat="false" ht="15.75" hidden="false" customHeight="false" outlineLevel="0" collapsed="false">
      <c r="A8" s="2"/>
      <c r="B8" s="7"/>
      <c r="C8" s="7"/>
      <c r="D8" s="7"/>
      <c r="E8" s="6" t="s">
        <v>15</v>
      </c>
      <c r="F8" s="7"/>
      <c r="G8" s="7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customFormat="false" ht="15.75" hidden="false" customHeight="false" outlineLevel="0" collapsed="false">
      <c r="A9" s="2"/>
      <c r="B9" s="7"/>
      <c r="C9" s="7"/>
      <c r="D9" s="6" t="s">
        <v>16</v>
      </c>
      <c r="E9" s="7"/>
      <c r="F9" s="7"/>
      <c r="G9" s="7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customFormat="false" ht="15.75" hidden="false" customHeight="false" outlineLevel="0" collapsed="false">
      <c r="A10" s="2"/>
      <c r="B10" s="7"/>
      <c r="C10" s="7"/>
      <c r="D10" s="7"/>
      <c r="E10" s="6" t="s">
        <v>17</v>
      </c>
      <c r="F10" s="7"/>
      <c r="G10" s="7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customFormat="false" ht="15.75" hidden="false" customHeight="false" outlineLevel="0" collapsed="false">
      <c r="A11" s="2"/>
      <c r="B11" s="7"/>
      <c r="C11" s="7"/>
      <c r="D11" s="6" t="s">
        <v>18</v>
      </c>
      <c r="E11" s="7"/>
      <c r="F11" s="7"/>
      <c r="G11" s="7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customFormat="false" ht="15.75" hidden="false" customHeight="false" outlineLevel="0" collapsed="false">
      <c r="A12" s="2"/>
      <c r="B12" s="7"/>
      <c r="C12" s="7"/>
      <c r="D12" s="7"/>
      <c r="E12" s="6" t="s">
        <v>19</v>
      </c>
      <c r="F12" s="7"/>
      <c r="G12" s="7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customFormat="false" ht="15.75" hidden="false" customHeight="false" outlineLevel="0" collapsed="false">
      <c r="A13" s="2"/>
      <c r="B13" s="7"/>
      <c r="C13" s="7"/>
      <c r="D13" s="7"/>
      <c r="E13" s="6" t="s">
        <v>20</v>
      </c>
      <c r="F13" s="7"/>
      <c r="G13" s="7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customFormat="false" ht="15.75" hidden="false" customHeight="false" outlineLevel="0" collapsed="false">
      <c r="A14" s="2"/>
      <c r="B14" s="7"/>
      <c r="C14" s="7"/>
      <c r="D14" s="7"/>
      <c r="E14" s="6" t="s">
        <v>21</v>
      </c>
      <c r="F14" s="7"/>
      <c r="G14" s="7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customFormat="false" ht="15.75" hidden="false" customHeight="false" outlineLevel="0" collapsed="false">
      <c r="A15" s="2"/>
      <c r="B15" s="7"/>
      <c r="C15" s="7"/>
      <c r="D15" s="6" t="s">
        <v>22</v>
      </c>
      <c r="E15" s="7"/>
      <c r="F15" s="7"/>
      <c r="G15" s="7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customFormat="false" ht="15.75" hidden="false" customHeight="false" outlineLevel="0" collapsed="false">
      <c r="A16" s="2"/>
      <c r="B16" s="7"/>
      <c r="C16" s="7"/>
      <c r="D16" s="7"/>
      <c r="E16" s="6" t="s">
        <v>23</v>
      </c>
      <c r="F16" s="7"/>
      <c r="G16" s="7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customFormat="false" ht="15.75" hidden="false" customHeight="false" outlineLevel="0" collapsed="false">
      <c r="A17" s="2"/>
      <c r="B17" s="7"/>
      <c r="C17" s="7"/>
      <c r="D17" s="7"/>
      <c r="E17" s="6" t="s">
        <v>24</v>
      </c>
      <c r="F17" s="7"/>
      <c r="G17" s="7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customFormat="false" ht="15.75" hidden="false" customHeight="false" outlineLevel="0" collapsed="false">
      <c r="A18" s="2"/>
      <c r="B18" s="7"/>
      <c r="C18" s="7"/>
      <c r="D18" s="6" t="s">
        <v>25</v>
      </c>
      <c r="E18" s="7"/>
      <c r="F18" s="7"/>
      <c r="G18" s="7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customFormat="false" ht="15.75" hidden="false" customHeight="false" outlineLevel="0" collapsed="false">
      <c r="A19" s="2"/>
      <c r="B19" s="7"/>
      <c r="C19" s="7"/>
      <c r="D19" s="7"/>
      <c r="E19" s="6" t="s">
        <v>26</v>
      </c>
      <c r="F19" s="7"/>
      <c r="G19" s="7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customFormat="false" ht="15.75" hidden="false" customHeight="false" outlineLevel="0" collapsed="false">
      <c r="A20" s="2"/>
      <c r="B20" s="7"/>
      <c r="C20" s="7"/>
      <c r="D20" s="7"/>
      <c r="E20" s="6" t="s">
        <v>27</v>
      </c>
      <c r="F20" s="7"/>
      <c r="G20" s="7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customFormat="false" ht="15.75" hidden="false" customHeight="false" outlineLevel="0" collapsed="false">
      <c r="A21" s="2"/>
      <c r="B21" s="7"/>
      <c r="C21" s="7"/>
      <c r="D21" s="7"/>
      <c r="E21" s="6" t="s">
        <v>28</v>
      </c>
      <c r="F21" s="7"/>
      <c r="G21" s="7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customFormat="false" ht="15.75" hidden="false" customHeight="false" outlineLevel="0" collapsed="false">
      <c r="A22" s="2"/>
      <c r="B22" s="7"/>
      <c r="C22" s="7"/>
      <c r="D22" s="6" t="s">
        <v>29</v>
      </c>
      <c r="E22" s="7"/>
      <c r="F22" s="7"/>
      <c r="G22" s="7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customFormat="false" ht="15.75" hidden="false" customHeight="false" outlineLevel="0" collapsed="false">
      <c r="A23" s="2"/>
      <c r="B23" s="7"/>
      <c r="C23" s="7"/>
      <c r="D23" s="7"/>
      <c r="E23" s="7"/>
      <c r="F23" s="7"/>
      <c r="G23" s="7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customFormat="false" ht="15.75" hidden="false" customHeight="false" outlineLevel="0" collapsed="false">
      <c r="A24" s="2"/>
      <c r="B24" s="6" t="s">
        <v>30</v>
      </c>
      <c r="C24" s="7"/>
      <c r="D24" s="7"/>
      <c r="E24" s="7"/>
      <c r="F24" s="7"/>
      <c r="G24" s="7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customFormat="false" ht="15.75" hidden="false" customHeight="false" outlineLevel="0" collapsed="false">
      <c r="A25" s="2"/>
      <c r="B25" s="7"/>
      <c r="C25" s="6" t="s">
        <v>31</v>
      </c>
      <c r="D25" s="7"/>
      <c r="E25" s="7"/>
      <c r="F25" s="7"/>
      <c r="G25" s="7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customFormat="false" ht="15.75" hidden="false" customHeight="false" outlineLevel="0" collapsed="false">
      <c r="A26" s="2"/>
      <c r="B26" s="7"/>
      <c r="C26" s="6" t="s">
        <v>32</v>
      </c>
      <c r="D26" s="7"/>
      <c r="E26" s="7"/>
      <c r="F26" s="7"/>
      <c r="G26" s="7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customFormat="false" ht="15.75" hidden="false" customHeight="false" outlineLevel="0" collapsed="false">
      <c r="A27" s="2"/>
      <c r="B27" s="7"/>
      <c r="C27" s="6" t="s">
        <v>33</v>
      </c>
      <c r="D27" s="7"/>
      <c r="E27" s="7"/>
      <c r="F27" s="7"/>
      <c r="G27" s="7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customFormat="false" ht="15.75" hidden="false" customHeight="false" outlineLevel="0" collapsed="false">
      <c r="A28" s="2"/>
      <c r="B28" s="7"/>
      <c r="C28" s="7"/>
      <c r="D28" s="6" t="s">
        <v>34</v>
      </c>
      <c r="E28" s="7"/>
      <c r="F28" s="7"/>
      <c r="G28" s="7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customFormat="false" ht="15.75" hidden="false" customHeight="false" outlineLevel="0" collapsed="false">
      <c r="A29" s="2"/>
      <c r="B29" s="7"/>
      <c r="C29" s="7"/>
      <c r="D29" s="6" t="s">
        <v>35</v>
      </c>
      <c r="E29" s="7"/>
      <c r="F29" s="7"/>
      <c r="G29" s="7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customFormat="false" ht="15.75" hidden="false" customHeight="false" outlineLevel="0" collapsed="false">
      <c r="A30" s="2"/>
      <c r="B30" s="7"/>
      <c r="C30" s="7"/>
      <c r="D30" s="6" t="s">
        <v>36</v>
      </c>
      <c r="E30" s="7"/>
      <c r="F30" s="7"/>
      <c r="G30" s="7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customFormat="false" ht="15.75" hidden="false" customHeight="false" outlineLevel="0" collapsed="false">
      <c r="A31" s="2"/>
      <c r="B31" s="7"/>
      <c r="C31" s="6" t="s">
        <v>37</v>
      </c>
      <c r="D31" s="7"/>
      <c r="E31" s="7"/>
      <c r="F31" s="7"/>
      <c r="G31" s="7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customFormat="false" ht="15.75" hidden="false" customHeight="false" outlineLevel="0" collapsed="false">
      <c r="A32" s="2"/>
      <c r="B32" s="7"/>
      <c r="C32" s="7"/>
      <c r="D32" s="6" t="s">
        <v>38</v>
      </c>
      <c r="E32" s="7"/>
      <c r="F32" s="7"/>
      <c r="G32" s="7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customFormat="false" ht="15.75" hidden="false" customHeight="false" outlineLevel="0" collapsed="false">
      <c r="A33" s="2"/>
      <c r="B33" s="7"/>
      <c r="C33" s="7"/>
      <c r="D33" s="6" t="s">
        <v>39</v>
      </c>
      <c r="E33" s="7"/>
      <c r="F33" s="7"/>
      <c r="G33" s="7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customFormat="false" ht="15.75" hidden="false" customHeight="false" outlineLevel="0" collapsed="false">
      <c r="A34" s="2"/>
      <c r="B34" s="7"/>
      <c r="C34" s="7"/>
      <c r="D34" s="6" t="s">
        <v>40</v>
      </c>
      <c r="E34" s="7"/>
      <c r="F34" s="7"/>
      <c r="G34" s="7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customFormat="false" ht="15.75" hidden="false" customHeight="false" outlineLevel="0" collapsed="false">
      <c r="A35" s="2"/>
      <c r="B35" s="7"/>
      <c r="C35" s="7"/>
      <c r="D35" s="7"/>
      <c r="E35" s="7"/>
      <c r="F35" s="7"/>
      <c r="G35" s="7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customFormat="false" ht="15.75" hidden="false" customHeight="false" outlineLevel="0" collapsed="false">
      <c r="A36" s="2"/>
      <c r="B36" s="6" t="s">
        <v>41</v>
      </c>
      <c r="C36" s="7"/>
      <c r="D36" s="7"/>
      <c r="E36" s="7"/>
      <c r="F36" s="7"/>
      <c r="G36" s="7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customFormat="false" ht="15.75" hidden="false" customHeight="false" outlineLevel="0" collapsed="false">
      <c r="A37" s="2"/>
      <c r="B37" s="7"/>
      <c r="C37" s="6" t="s">
        <v>42</v>
      </c>
      <c r="D37" s="7"/>
      <c r="E37" s="7"/>
      <c r="F37" s="7"/>
      <c r="G37" s="7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customFormat="false" ht="15.75" hidden="false" customHeight="false" outlineLevel="0" collapsed="false">
      <c r="A38" s="2"/>
      <c r="B38" s="7"/>
      <c r="C38" s="6" t="s">
        <v>43</v>
      </c>
      <c r="D38" s="7"/>
      <c r="E38" s="7"/>
      <c r="F38" s="7"/>
      <c r="G38" s="7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customFormat="false" ht="15.75" hidden="false" customHeight="false" outlineLevel="0" collapsed="false">
      <c r="A39" s="2"/>
      <c r="B39" s="7"/>
      <c r="C39" s="7"/>
      <c r="D39" s="6" t="s">
        <v>44</v>
      </c>
      <c r="E39" s="7"/>
      <c r="F39" s="7"/>
      <c r="G39" s="7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customFormat="false" ht="15.75" hidden="false" customHeight="false" outlineLevel="0" collapsed="false">
      <c r="A40" s="2"/>
      <c r="B40" s="7"/>
      <c r="C40" s="7"/>
      <c r="D40" s="6" t="s">
        <v>45</v>
      </c>
      <c r="E40" s="7"/>
      <c r="F40" s="7"/>
      <c r="G40" s="7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customFormat="false" ht="15.75" hidden="false" customHeight="false" outlineLevel="0" collapsed="false">
      <c r="A41" s="2"/>
      <c r="B41" s="7"/>
      <c r="C41" s="7"/>
      <c r="D41" s="6" t="s">
        <v>46</v>
      </c>
      <c r="E41" s="7"/>
      <c r="F41" s="7"/>
      <c r="G41" s="7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customFormat="false" ht="15.75" hidden="false" customHeight="false" outlineLevel="0" collapsed="false">
      <c r="A42" s="2"/>
      <c r="B42" s="7"/>
      <c r="C42" s="7"/>
      <c r="D42" s="6" t="s">
        <v>47</v>
      </c>
      <c r="E42" s="7"/>
      <c r="F42" s="7"/>
      <c r="G42" s="7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customFormat="false" ht="15.75" hidden="false" customHeight="false" outlineLevel="0" collapsed="false">
      <c r="A43" s="2"/>
      <c r="B43" s="7"/>
      <c r="C43" s="7"/>
      <c r="D43" s="7"/>
      <c r="E43" s="6" t="s">
        <v>48</v>
      </c>
      <c r="F43" s="7"/>
      <c r="G43" s="7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customFormat="false" ht="15.75" hidden="false" customHeight="false" outlineLevel="0" collapsed="false">
      <c r="A44" s="2"/>
      <c r="B44" s="7"/>
      <c r="C44" s="7"/>
      <c r="D44" s="7"/>
      <c r="E44" s="6" t="s">
        <v>49</v>
      </c>
      <c r="F44" s="7"/>
      <c r="G44" s="7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customFormat="false" ht="15.75" hidden="false" customHeight="false" outlineLevel="0" collapsed="false">
      <c r="A45" s="2"/>
      <c r="B45" s="7"/>
      <c r="C45" s="7"/>
      <c r="D45" s="6" t="s">
        <v>50</v>
      </c>
      <c r="E45" s="7"/>
      <c r="F45" s="7"/>
      <c r="G45" s="7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customFormat="false" ht="15.75" hidden="false" customHeight="false" outlineLevel="0" collapsed="false">
      <c r="A46" s="2"/>
      <c r="B46" s="7"/>
      <c r="C46" s="7"/>
      <c r="D46" s="7"/>
      <c r="E46" s="7"/>
      <c r="F46" s="7"/>
      <c r="G46" s="7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customFormat="false" ht="15.75" hidden="false" customHeight="false" outlineLevel="0" collapsed="false">
      <c r="A47" s="5" t="s">
        <v>51</v>
      </c>
      <c r="B47" s="6" t="s">
        <v>52</v>
      </c>
      <c r="C47" s="7"/>
      <c r="D47" s="7"/>
      <c r="E47" s="7"/>
      <c r="F47" s="7"/>
      <c r="G47" s="7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customFormat="false" ht="15.75" hidden="false" customHeight="false" outlineLevel="0" collapsed="false">
      <c r="A48" s="2"/>
      <c r="B48" s="7"/>
      <c r="C48" s="6" t="s">
        <v>53</v>
      </c>
      <c r="D48" s="7"/>
      <c r="E48" s="7"/>
      <c r="F48" s="7"/>
      <c r="G48" s="7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customFormat="false" ht="15.75" hidden="false" customHeight="false" outlineLevel="0" collapsed="false">
      <c r="A49" s="2"/>
      <c r="B49" s="7"/>
      <c r="C49" s="6" t="s">
        <v>54</v>
      </c>
      <c r="D49" s="7"/>
      <c r="E49" s="7"/>
      <c r="F49" s="7"/>
      <c r="G49" s="7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customFormat="false" ht="15.75" hidden="false" customHeight="false" outlineLevel="0" collapsed="false">
      <c r="A50" s="2"/>
      <c r="B50" s="7"/>
      <c r="C50" s="7"/>
      <c r="D50" s="6" t="s">
        <v>55</v>
      </c>
      <c r="E50" s="7"/>
      <c r="F50" s="7"/>
      <c r="G50" s="7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customFormat="false" ht="15.75" hidden="false" customHeight="false" outlineLevel="0" collapsed="false">
      <c r="A51" s="2"/>
      <c r="B51" s="7"/>
      <c r="C51" s="7"/>
      <c r="D51" s="7"/>
      <c r="E51" s="6" t="s">
        <v>56</v>
      </c>
      <c r="F51" s="7"/>
      <c r="G51" s="7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customFormat="false" ht="15.75" hidden="false" customHeight="false" outlineLevel="0" collapsed="false">
      <c r="A52" s="2"/>
      <c r="B52" s="7"/>
      <c r="C52" s="6" t="s">
        <v>57</v>
      </c>
      <c r="D52" s="7"/>
      <c r="E52" s="7"/>
      <c r="F52" s="7"/>
      <c r="G52" s="7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customFormat="false" ht="15.75" hidden="false" customHeight="false" outlineLevel="0" collapsed="false">
      <c r="A53" s="2"/>
      <c r="B53" s="7"/>
      <c r="C53" s="7"/>
      <c r="D53" s="6" t="s">
        <v>58</v>
      </c>
      <c r="E53" s="7"/>
      <c r="F53" s="7"/>
      <c r="G53" s="7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customFormat="false" ht="15.75" hidden="false" customHeight="false" outlineLevel="0" collapsed="false">
      <c r="A54" s="2"/>
      <c r="B54" s="7"/>
      <c r="C54" s="7"/>
      <c r="D54" s="6" t="s">
        <v>59</v>
      </c>
      <c r="E54" s="7"/>
      <c r="F54" s="7"/>
      <c r="G54" s="7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customFormat="false" ht="15.75" hidden="false" customHeight="false" outlineLevel="0" collapsed="false">
      <c r="A55" s="2"/>
      <c r="B55" s="7"/>
      <c r="C55" s="7"/>
      <c r="D55" s="6" t="s">
        <v>60</v>
      </c>
      <c r="E55" s="7"/>
      <c r="F55" s="7"/>
      <c r="G55" s="7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customFormat="false" ht="15.75" hidden="false" customHeight="false" outlineLevel="0" collapsed="false">
      <c r="A56" s="2"/>
      <c r="B56" s="7"/>
      <c r="C56" s="7"/>
      <c r="D56" s="6" t="s">
        <v>61</v>
      </c>
      <c r="E56" s="7"/>
      <c r="F56" s="7"/>
      <c r="G56" s="7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customFormat="false" ht="15.75" hidden="false" customHeight="false" outlineLevel="0" collapsed="false">
      <c r="A57" s="2"/>
      <c r="B57" s="7"/>
      <c r="C57" s="7"/>
      <c r="D57" s="6" t="s">
        <v>62</v>
      </c>
      <c r="E57" s="7"/>
      <c r="F57" s="7"/>
      <c r="G57" s="7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customFormat="false" ht="15.75" hidden="false" customHeight="false" outlineLevel="0" collapsed="false">
      <c r="A58" s="2"/>
      <c r="B58" s="7"/>
      <c r="C58" s="6" t="s">
        <v>63</v>
      </c>
      <c r="D58" s="7"/>
      <c r="E58" s="7"/>
      <c r="F58" s="7"/>
      <c r="G58" s="7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customFormat="false" ht="15.75" hidden="false" customHeight="false" outlineLevel="0" collapsed="false">
      <c r="A59" s="2"/>
      <c r="B59" s="7"/>
      <c r="C59" s="7"/>
      <c r="D59" s="6" t="s">
        <v>64</v>
      </c>
      <c r="E59" s="7"/>
      <c r="F59" s="7"/>
      <c r="G59" s="7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customFormat="false" ht="15.75" hidden="false" customHeight="false" outlineLevel="0" collapsed="false">
      <c r="A60" s="2"/>
      <c r="B60" s="7"/>
      <c r="C60" s="7"/>
      <c r="D60" s="6" t="s">
        <v>65</v>
      </c>
      <c r="E60" s="7"/>
      <c r="F60" s="7"/>
      <c r="G60" s="7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customFormat="false" ht="15.75" hidden="false" customHeight="false" outlineLevel="0" collapsed="false">
      <c r="A61" s="2"/>
      <c r="B61" s="7"/>
      <c r="C61" s="7"/>
      <c r="D61" s="6" t="s">
        <v>66</v>
      </c>
      <c r="E61" s="7"/>
      <c r="F61" s="7"/>
      <c r="G61" s="7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customFormat="false" ht="15.75" hidden="false" customHeight="false" outlineLevel="0" collapsed="false">
      <c r="A62" s="2"/>
      <c r="B62" s="7"/>
      <c r="C62" s="7"/>
      <c r="D62" s="6" t="s">
        <v>67</v>
      </c>
      <c r="E62" s="7"/>
      <c r="F62" s="7"/>
      <c r="G62" s="7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customFormat="false" ht="15.75" hidden="false" customHeight="false" outlineLevel="0" collapsed="false">
      <c r="A63" s="2"/>
      <c r="B63" s="7"/>
      <c r="C63" s="7"/>
      <c r="D63" s="6" t="s">
        <v>68</v>
      </c>
      <c r="E63" s="7"/>
      <c r="F63" s="7"/>
      <c r="G63" s="7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customFormat="false" ht="15.75" hidden="false" customHeight="false" outlineLevel="0" collapsed="false">
      <c r="A64" s="2"/>
      <c r="B64" s="7"/>
      <c r="C64" s="7"/>
      <c r="D64" s="7"/>
      <c r="E64" s="7"/>
      <c r="F64" s="7"/>
      <c r="G64" s="7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customFormat="false" ht="15.75" hidden="false" customHeight="false" outlineLevel="0" collapsed="false">
      <c r="A65" s="2"/>
      <c r="B65" s="6" t="s">
        <v>69</v>
      </c>
      <c r="C65" s="7"/>
      <c r="D65" s="7"/>
      <c r="E65" s="7"/>
      <c r="F65" s="7"/>
      <c r="G65" s="7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customFormat="false" ht="15.75" hidden="false" customHeight="false" outlineLevel="0" collapsed="false">
      <c r="A66" s="2"/>
      <c r="B66" s="7"/>
      <c r="C66" s="6" t="s">
        <v>70</v>
      </c>
      <c r="D66" s="7"/>
      <c r="E66" s="7"/>
      <c r="F66" s="7"/>
      <c r="G66" s="7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customFormat="false" ht="15.75" hidden="false" customHeight="false" outlineLevel="0" collapsed="false">
      <c r="A67" s="2"/>
      <c r="B67" s="7"/>
      <c r="C67" s="6" t="s">
        <v>71</v>
      </c>
      <c r="D67" s="7"/>
      <c r="E67" s="7"/>
      <c r="F67" s="7"/>
      <c r="G67" s="7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customFormat="false" ht="15.75" hidden="false" customHeight="false" outlineLevel="0" collapsed="false">
      <c r="A68" s="2"/>
      <c r="B68" s="7"/>
      <c r="C68" s="7"/>
      <c r="D68" s="6" t="s">
        <v>72</v>
      </c>
      <c r="E68" s="7"/>
      <c r="F68" s="7"/>
      <c r="G68" s="7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customFormat="false" ht="15.75" hidden="false" customHeight="false" outlineLevel="0" collapsed="false">
      <c r="A69" s="2"/>
      <c r="B69" s="7"/>
      <c r="C69" s="7"/>
      <c r="D69" s="6" t="s">
        <v>73</v>
      </c>
      <c r="E69" s="7"/>
      <c r="F69" s="7"/>
      <c r="G69" s="7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customFormat="false" ht="15.75" hidden="false" customHeight="false" outlineLevel="0" collapsed="false">
      <c r="A70" s="2"/>
      <c r="B70" s="7"/>
      <c r="C70" s="7"/>
      <c r="D70" s="7"/>
      <c r="E70" s="7"/>
      <c r="F70" s="7"/>
      <c r="G70" s="7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customFormat="false" ht="15.75" hidden="false" customHeight="false" outlineLevel="0" collapsed="false">
      <c r="A71" s="5" t="s">
        <v>74</v>
      </c>
      <c r="B71" s="6" t="s">
        <v>75</v>
      </c>
      <c r="C71" s="7"/>
      <c r="D71" s="7"/>
      <c r="E71" s="7"/>
      <c r="F71" s="7"/>
      <c r="G71" s="7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customFormat="false" ht="15.75" hidden="false" customHeight="false" outlineLevel="0" collapsed="false">
      <c r="A72" s="2"/>
      <c r="B72" s="7"/>
      <c r="C72" s="6" t="s">
        <v>76</v>
      </c>
      <c r="D72" s="7"/>
      <c r="E72" s="7"/>
      <c r="F72" s="7"/>
      <c r="G72" s="7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customFormat="false" ht="15.75" hidden="false" customHeight="false" outlineLevel="0" collapsed="false">
      <c r="A73" s="2"/>
      <c r="B73" s="7"/>
      <c r="C73" s="6" t="s">
        <v>77</v>
      </c>
      <c r="D73" s="7"/>
      <c r="E73" s="7"/>
      <c r="F73" s="7"/>
      <c r="G73" s="7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customFormat="false" ht="15.75" hidden="false" customHeight="false" outlineLevel="0" collapsed="false">
      <c r="A74" s="2"/>
      <c r="B74" s="7"/>
      <c r="C74" s="7"/>
      <c r="D74" s="6" t="s">
        <v>78</v>
      </c>
      <c r="E74" s="7"/>
      <c r="F74" s="7"/>
      <c r="G74" s="7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customFormat="false" ht="15.75" hidden="false" customHeight="false" outlineLevel="0" collapsed="false">
      <c r="A75" s="2"/>
      <c r="B75" s="7"/>
      <c r="C75" s="7"/>
      <c r="D75" s="6" t="s">
        <v>79</v>
      </c>
      <c r="E75" s="7"/>
      <c r="F75" s="7"/>
      <c r="G75" s="7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customFormat="false" ht="15.75" hidden="false" customHeight="false" outlineLevel="0" collapsed="false">
      <c r="A76" s="2"/>
      <c r="B76" s="7"/>
      <c r="C76" s="7"/>
      <c r="D76" s="6" t="s">
        <v>80</v>
      </c>
      <c r="E76" s="7"/>
      <c r="F76" s="7"/>
      <c r="G76" s="7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customFormat="false" ht="15.75" hidden="false" customHeight="false" outlineLevel="0" collapsed="false">
      <c r="A77" s="2"/>
      <c r="B77" s="7"/>
      <c r="C77" s="7"/>
      <c r="D77" s="6" t="s">
        <v>81</v>
      </c>
      <c r="E77" s="7"/>
      <c r="F77" s="7"/>
      <c r="G77" s="7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customFormat="false" ht="15.75" hidden="false" customHeight="false" outlineLevel="0" collapsed="false">
      <c r="A78" s="2"/>
      <c r="B78" s="7"/>
      <c r="C78" s="7"/>
      <c r="D78" s="6" t="s">
        <v>82</v>
      </c>
      <c r="E78" s="7"/>
      <c r="F78" s="7"/>
      <c r="G78" s="7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customFormat="false" ht="15.75" hidden="false" customHeight="false" outlineLevel="0" collapsed="false">
      <c r="A79" s="2"/>
      <c r="B79" s="7"/>
      <c r="C79" s="7"/>
      <c r="D79" s="6" t="s">
        <v>83</v>
      </c>
      <c r="E79" s="7"/>
      <c r="F79" s="7"/>
      <c r="G79" s="7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customFormat="false" ht="15.75" hidden="false" customHeight="false" outlineLevel="0" collapsed="false">
      <c r="A80" s="2"/>
      <c r="B80" s="7"/>
      <c r="C80" s="6" t="s">
        <v>84</v>
      </c>
      <c r="D80" s="7"/>
      <c r="E80" s="7"/>
      <c r="F80" s="7"/>
      <c r="G80" s="7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customFormat="false" ht="15.75" hidden="false" customHeight="false" outlineLevel="0" collapsed="false">
      <c r="A81" s="2"/>
      <c r="B81" s="7"/>
      <c r="C81" s="7"/>
      <c r="D81" s="6" t="s">
        <v>85</v>
      </c>
      <c r="E81" s="7"/>
      <c r="F81" s="7"/>
      <c r="G81" s="7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customFormat="false" ht="15.75" hidden="false" customHeight="false" outlineLevel="0" collapsed="false">
      <c r="A82" s="2"/>
      <c r="B82" s="7"/>
      <c r="C82" s="7"/>
      <c r="D82" s="6" t="s">
        <v>86</v>
      </c>
      <c r="E82" s="7"/>
      <c r="F82" s="7"/>
      <c r="G82" s="7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customFormat="false" ht="15.75" hidden="false" customHeight="false" outlineLevel="0" collapsed="false">
      <c r="A83" s="2"/>
      <c r="B83" s="7"/>
      <c r="C83" s="7"/>
      <c r="D83" s="7"/>
      <c r="E83" s="6" t="s">
        <v>87</v>
      </c>
      <c r="F83" s="7"/>
      <c r="G83" s="7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customFormat="false" ht="15.75" hidden="false" customHeight="false" outlineLevel="0" collapsed="false">
      <c r="A84" s="2"/>
      <c r="B84" s="7"/>
      <c r="C84" s="7"/>
      <c r="D84" s="6" t="s">
        <v>88</v>
      </c>
      <c r="E84" s="7"/>
      <c r="F84" s="7"/>
      <c r="G84" s="7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customFormat="false" ht="15.75" hidden="false" customHeight="false" outlineLevel="0" collapsed="false">
      <c r="A85" s="2"/>
      <c r="B85" s="7"/>
      <c r="C85" s="7"/>
      <c r="D85" s="6" t="s">
        <v>89</v>
      </c>
      <c r="E85" s="7"/>
      <c r="F85" s="7"/>
      <c r="G85" s="7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customFormat="false" ht="15.75" hidden="false" customHeight="false" outlineLevel="0" collapsed="false">
      <c r="A86" s="2"/>
      <c r="B86" s="7"/>
      <c r="C86" s="7"/>
      <c r="D86" s="6" t="s">
        <v>90</v>
      </c>
      <c r="E86" s="7"/>
      <c r="F86" s="7"/>
      <c r="G86" s="7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customFormat="false" ht="15.75" hidden="false" customHeight="false" outlineLevel="0" collapsed="false">
      <c r="A87" s="2"/>
      <c r="B87" s="7"/>
      <c r="C87" s="7"/>
      <c r="D87" s="7"/>
      <c r="E87" s="6" t="s">
        <v>91</v>
      </c>
      <c r="F87" s="7"/>
      <c r="G87" s="7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customFormat="false" ht="15.75" hidden="false" customHeight="false" outlineLevel="0" collapsed="false">
      <c r="A88" s="2"/>
      <c r="B88" s="7"/>
      <c r="C88" s="7"/>
      <c r="D88" s="7"/>
      <c r="E88" s="6" t="s">
        <v>92</v>
      </c>
      <c r="F88" s="7"/>
      <c r="G88" s="7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customFormat="false" ht="15.75" hidden="false" customHeight="false" outlineLevel="0" collapsed="false">
      <c r="A89" s="2"/>
      <c r="B89" s="7"/>
      <c r="C89" s="7"/>
      <c r="D89" s="6" t="s">
        <v>93</v>
      </c>
      <c r="E89" s="7"/>
      <c r="F89" s="7"/>
      <c r="G89" s="7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customFormat="false" ht="15.75" hidden="false" customHeight="false" outlineLevel="0" collapsed="false">
      <c r="A90" s="2"/>
      <c r="B90" s="7"/>
      <c r="C90" s="7"/>
      <c r="D90" s="7"/>
      <c r="E90" s="6" t="s">
        <v>94</v>
      </c>
      <c r="F90" s="7"/>
      <c r="G90" s="7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customFormat="false" ht="15.75" hidden="false" customHeight="false" outlineLevel="0" collapsed="false">
      <c r="A91" s="2"/>
      <c r="B91" s="7"/>
      <c r="C91" s="7"/>
      <c r="D91" s="6" t="s">
        <v>95</v>
      </c>
      <c r="E91" s="7"/>
      <c r="F91" s="7"/>
      <c r="G91" s="7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customFormat="false" ht="15.75" hidden="false" customHeight="false" outlineLevel="0" collapsed="false">
      <c r="A92" s="2"/>
      <c r="B92" s="7"/>
      <c r="C92" s="7"/>
      <c r="D92" s="7"/>
      <c r="E92" s="6" t="s">
        <v>96</v>
      </c>
      <c r="F92" s="7"/>
      <c r="G92" s="7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customFormat="false" ht="15.75" hidden="false" customHeight="false" outlineLevel="0" collapsed="false">
      <c r="A93" s="2"/>
      <c r="B93" s="7"/>
      <c r="C93" s="7"/>
      <c r="D93" s="6" t="s">
        <v>97</v>
      </c>
      <c r="E93" s="7"/>
      <c r="F93" s="7"/>
      <c r="G93" s="7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customFormat="false" ht="15.75" hidden="false" customHeight="false" outlineLevel="0" collapsed="false">
      <c r="A94" s="2"/>
      <c r="B94" s="7"/>
      <c r="C94" s="7"/>
      <c r="D94" s="7"/>
      <c r="E94" s="7"/>
      <c r="F94" s="7"/>
      <c r="G94" s="7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customFormat="false" ht="15.75" hidden="false" customHeight="false" outlineLevel="0" collapsed="false">
      <c r="A95" s="2"/>
      <c r="B95" s="6" t="s">
        <v>98</v>
      </c>
      <c r="C95" s="7"/>
      <c r="D95" s="7"/>
      <c r="E95" s="7"/>
      <c r="F95" s="7"/>
      <c r="G95" s="7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customFormat="false" ht="15.75" hidden="false" customHeight="false" outlineLevel="0" collapsed="false">
      <c r="A96" s="2"/>
      <c r="B96" s="7"/>
      <c r="C96" s="6" t="s">
        <v>99</v>
      </c>
      <c r="D96" s="7"/>
      <c r="E96" s="7"/>
      <c r="F96" s="7"/>
      <c r="G96" s="7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customFormat="false" ht="15.75" hidden="false" customHeight="false" outlineLevel="0" collapsed="false">
      <c r="A97" s="2"/>
      <c r="B97" s="7"/>
      <c r="C97" s="6" t="s">
        <v>100</v>
      </c>
      <c r="D97" s="7"/>
      <c r="E97" s="7"/>
      <c r="F97" s="7"/>
      <c r="G97" s="7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customFormat="false" ht="15.75" hidden="false" customHeight="false" outlineLevel="0" collapsed="false">
      <c r="A98" s="2"/>
      <c r="B98" s="7"/>
      <c r="C98" s="7"/>
      <c r="D98" s="6" t="s">
        <v>101</v>
      </c>
      <c r="E98" s="7"/>
      <c r="F98" s="7"/>
      <c r="G98" s="7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customFormat="false" ht="15.75" hidden="false" customHeight="false" outlineLevel="0" collapsed="false">
      <c r="A99" s="2"/>
      <c r="B99" s="7"/>
      <c r="C99" s="6" t="s">
        <v>102</v>
      </c>
      <c r="D99" s="7"/>
      <c r="E99" s="7"/>
      <c r="F99" s="7"/>
      <c r="G99" s="7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customFormat="false" ht="15.75" hidden="false" customHeight="false" outlineLevel="0" collapsed="false">
      <c r="A100" s="2"/>
      <c r="B100" s="7"/>
      <c r="C100" s="7"/>
      <c r="D100" s="6" t="s">
        <v>103</v>
      </c>
      <c r="E100" s="7"/>
      <c r="F100" s="7"/>
      <c r="G100" s="7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customFormat="false" ht="15.75" hidden="false" customHeight="false" outlineLevel="0" collapsed="false">
      <c r="A101" s="2"/>
      <c r="B101" s="7"/>
      <c r="C101" s="7"/>
      <c r="D101" s="7"/>
      <c r="E101" s="6" t="s">
        <v>104</v>
      </c>
      <c r="F101" s="7"/>
      <c r="G101" s="7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customFormat="false" ht="15.75" hidden="false" customHeight="false" outlineLevel="0" collapsed="false">
      <c r="A102" s="2"/>
      <c r="B102" s="7"/>
      <c r="C102" s="7"/>
      <c r="D102" s="6" t="s">
        <v>105</v>
      </c>
      <c r="E102" s="7"/>
      <c r="F102" s="7"/>
      <c r="G102" s="7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customFormat="false" ht="15.75" hidden="false" customHeight="false" outlineLevel="0" collapsed="false">
      <c r="A103" s="2"/>
      <c r="B103" s="7"/>
      <c r="C103" s="6" t="s">
        <v>106</v>
      </c>
      <c r="D103" s="7"/>
      <c r="E103" s="7"/>
      <c r="F103" s="7"/>
      <c r="G103" s="7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customFormat="false" ht="15.75" hidden="false" customHeight="false" outlineLevel="0" collapsed="false">
      <c r="A104" s="2"/>
      <c r="B104" s="7"/>
      <c r="C104" s="7"/>
      <c r="D104" s="6" t="s">
        <v>107</v>
      </c>
      <c r="E104" s="7"/>
      <c r="F104" s="7"/>
      <c r="G104" s="7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customFormat="false" ht="15.75" hidden="false" customHeight="false" outlineLevel="0" collapsed="false">
      <c r="A105" s="2"/>
      <c r="B105" s="7"/>
      <c r="C105" s="7"/>
      <c r="D105" s="6" t="s">
        <v>108</v>
      </c>
      <c r="E105" s="7"/>
      <c r="F105" s="7"/>
      <c r="G105" s="7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customFormat="false" ht="15.75" hidden="false" customHeight="false" outlineLevel="0" collapsed="false">
      <c r="A106" s="2"/>
      <c r="B106" s="7"/>
      <c r="C106" s="7"/>
      <c r="D106" s="6" t="s">
        <v>109</v>
      </c>
      <c r="E106" s="7"/>
      <c r="F106" s="7"/>
      <c r="G106" s="7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customFormat="false" ht="15.75" hidden="false" customHeight="false" outlineLevel="0" collapsed="false">
      <c r="A107" s="2"/>
      <c r="B107" s="7"/>
      <c r="C107" s="7"/>
      <c r="D107" s="6" t="s">
        <v>110</v>
      </c>
      <c r="E107" s="7"/>
      <c r="F107" s="7"/>
      <c r="G107" s="7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customFormat="false" ht="15.75" hidden="false" customHeight="false" outlineLevel="0" collapsed="false">
      <c r="A108" s="2"/>
      <c r="B108" s="7"/>
      <c r="C108" s="6" t="s">
        <v>111</v>
      </c>
      <c r="D108" s="7"/>
      <c r="E108" s="7"/>
      <c r="F108" s="7"/>
      <c r="G108" s="7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customFormat="false" ht="15.75" hidden="false" customHeight="false" outlineLevel="0" collapsed="false">
      <c r="A109" s="2"/>
      <c r="B109" s="7"/>
      <c r="C109" s="7"/>
      <c r="D109" s="6" t="s">
        <v>112</v>
      </c>
      <c r="E109" s="7"/>
      <c r="F109" s="7"/>
      <c r="G109" s="7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customFormat="false" ht="15.75" hidden="false" customHeight="false" outlineLevel="0" collapsed="false">
      <c r="A110" s="2"/>
      <c r="B110" s="7"/>
      <c r="C110" s="7"/>
      <c r="D110" s="6" t="s">
        <v>113</v>
      </c>
      <c r="E110" s="7"/>
      <c r="F110" s="7"/>
      <c r="G110" s="7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customFormat="false" ht="15.75" hidden="false" customHeight="false" outlineLevel="0" collapsed="false">
      <c r="A111" s="2"/>
      <c r="B111" s="7"/>
      <c r="C111" s="7"/>
      <c r="D111" s="6" t="s">
        <v>114</v>
      </c>
      <c r="E111" s="7"/>
      <c r="F111" s="7"/>
      <c r="G111" s="7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customFormat="false" ht="15.75" hidden="false" customHeight="false" outlineLevel="0" collapsed="false">
      <c r="A112" s="2"/>
      <c r="B112" s="7"/>
      <c r="C112" s="7"/>
      <c r="D112" s="6" t="s">
        <v>115</v>
      </c>
      <c r="E112" s="7"/>
      <c r="F112" s="7"/>
      <c r="G112" s="7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customFormat="false" ht="15.75" hidden="false" customHeight="false" outlineLevel="0" collapsed="false">
      <c r="A113" s="2"/>
      <c r="B113" s="7"/>
      <c r="C113" s="7"/>
      <c r="D113" s="6" t="s">
        <v>116</v>
      </c>
      <c r="E113" s="7"/>
      <c r="F113" s="7"/>
      <c r="G113" s="7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customFormat="false" ht="15.75" hidden="false" customHeight="false" outlineLevel="0" collapsed="false">
      <c r="A114" s="2"/>
      <c r="B114" s="7"/>
      <c r="C114" s="7"/>
      <c r="D114" s="6" t="s">
        <v>117</v>
      </c>
      <c r="E114" s="7"/>
      <c r="F114" s="7"/>
      <c r="G114" s="7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customFormat="false" ht="15.75" hidden="false" customHeight="false" outlineLevel="0" collapsed="false">
      <c r="A115" s="2"/>
      <c r="B115" s="7"/>
      <c r="C115" s="7"/>
      <c r="D115" s="6" t="s">
        <v>118</v>
      </c>
      <c r="E115" s="7"/>
      <c r="F115" s="7"/>
      <c r="G115" s="7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customFormat="false" ht="15.75" hidden="false" customHeight="false" outlineLevel="0" collapsed="false">
      <c r="A116" s="2"/>
      <c r="B116" s="7"/>
      <c r="C116" s="7"/>
      <c r="D116" s="6" t="s">
        <v>119</v>
      </c>
      <c r="E116" s="7"/>
      <c r="F116" s="7"/>
      <c r="G116" s="7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customFormat="false" ht="15.75" hidden="false" customHeight="false" outlineLevel="0" collapsed="false">
      <c r="A117" s="2"/>
      <c r="B117" s="7"/>
      <c r="C117" s="7"/>
      <c r="D117" s="7"/>
      <c r="E117" s="7"/>
      <c r="F117" s="7"/>
      <c r="G117" s="7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customFormat="false" ht="15.75" hidden="false" customHeight="false" outlineLevel="0" collapsed="false">
      <c r="A118" s="2"/>
      <c r="B118" s="6" t="s">
        <v>120</v>
      </c>
      <c r="C118" s="7"/>
      <c r="D118" s="7"/>
      <c r="E118" s="7"/>
      <c r="F118" s="7"/>
      <c r="G118" s="7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customFormat="false" ht="15.75" hidden="false" customHeight="false" outlineLevel="0" collapsed="false">
      <c r="A119" s="2"/>
      <c r="B119" s="7"/>
      <c r="C119" s="6" t="s">
        <v>121</v>
      </c>
      <c r="D119" s="7"/>
      <c r="E119" s="7"/>
      <c r="F119" s="7"/>
      <c r="G119" s="7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customFormat="false" ht="15.75" hidden="false" customHeight="false" outlineLevel="0" collapsed="false">
      <c r="A120" s="2"/>
      <c r="B120" s="7"/>
      <c r="C120" s="6" t="s">
        <v>122</v>
      </c>
      <c r="D120" s="7"/>
      <c r="E120" s="7"/>
      <c r="F120" s="7"/>
      <c r="G120" s="7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customFormat="false" ht="15.75" hidden="false" customHeight="false" outlineLevel="0" collapsed="false">
      <c r="A121" s="2"/>
      <c r="B121" s="7"/>
      <c r="C121" s="7"/>
      <c r="D121" s="6" t="s">
        <v>123</v>
      </c>
      <c r="E121" s="7"/>
      <c r="F121" s="7"/>
      <c r="G121" s="7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customFormat="false" ht="15.75" hidden="false" customHeight="false" outlineLevel="0" collapsed="false">
      <c r="A122" s="2"/>
      <c r="B122" s="7"/>
      <c r="C122" s="7"/>
      <c r="D122" s="6" t="s">
        <v>124</v>
      </c>
      <c r="E122" s="7"/>
      <c r="F122" s="7"/>
      <c r="G122" s="7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customFormat="false" ht="15.75" hidden="false" customHeight="false" outlineLevel="0" collapsed="false">
      <c r="A123" s="2"/>
      <c r="B123" s="7"/>
      <c r="C123" s="7"/>
      <c r="D123" s="6" t="s">
        <v>125</v>
      </c>
      <c r="E123" s="7"/>
      <c r="F123" s="7"/>
      <c r="G123" s="7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customFormat="false" ht="15.75" hidden="false" customHeight="false" outlineLevel="0" collapsed="false">
      <c r="A124" s="2"/>
      <c r="B124" s="7"/>
      <c r="C124" s="6" t="s">
        <v>126</v>
      </c>
      <c r="D124" s="7"/>
      <c r="E124" s="7"/>
      <c r="F124" s="7"/>
      <c r="G124" s="7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customFormat="false" ht="15.75" hidden="false" customHeight="false" outlineLevel="0" collapsed="false">
      <c r="A125" s="2"/>
      <c r="B125" s="7"/>
      <c r="C125" s="7"/>
      <c r="D125" s="6" t="s">
        <v>127</v>
      </c>
      <c r="E125" s="7"/>
      <c r="F125" s="7"/>
      <c r="G125" s="7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customFormat="false" ht="15.75" hidden="false" customHeight="false" outlineLevel="0" collapsed="false">
      <c r="A126" s="2"/>
      <c r="B126" s="7"/>
      <c r="C126" s="7"/>
      <c r="D126" s="6" t="s">
        <v>128</v>
      </c>
      <c r="E126" s="7"/>
      <c r="F126" s="7"/>
      <c r="G126" s="7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customFormat="false" ht="15.75" hidden="false" customHeight="false" outlineLevel="0" collapsed="false">
      <c r="A127" s="2"/>
      <c r="B127" s="7"/>
      <c r="C127" s="7"/>
      <c r="D127" s="7"/>
      <c r="E127" s="7"/>
      <c r="F127" s="7"/>
      <c r="G127" s="7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customFormat="false" ht="15.75" hidden="false" customHeight="false" outlineLevel="0" collapsed="false">
      <c r="A128" s="2"/>
      <c r="B128" s="6" t="s">
        <v>129</v>
      </c>
      <c r="C128" s="7"/>
      <c r="D128" s="7"/>
      <c r="E128" s="7"/>
      <c r="F128" s="7"/>
      <c r="G128" s="7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customFormat="false" ht="15.75" hidden="false" customHeight="false" outlineLevel="0" collapsed="false">
      <c r="A129" s="2"/>
      <c r="B129" s="7"/>
      <c r="C129" s="6" t="s">
        <v>130</v>
      </c>
      <c r="D129" s="7"/>
      <c r="E129" s="7"/>
      <c r="F129" s="7"/>
      <c r="G129" s="7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customFormat="false" ht="15.75" hidden="false" customHeight="false" outlineLevel="0" collapsed="false">
      <c r="A130" s="2"/>
      <c r="B130" s="7"/>
      <c r="C130" s="6" t="s">
        <v>131</v>
      </c>
      <c r="D130" s="7"/>
      <c r="E130" s="7"/>
      <c r="F130" s="7"/>
      <c r="G130" s="7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customFormat="false" ht="15.75" hidden="false" customHeight="false" outlineLevel="0" collapsed="false">
      <c r="A131" s="2"/>
      <c r="B131" s="7"/>
      <c r="C131" s="7"/>
      <c r="D131" s="6" t="s">
        <v>132</v>
      </c>
      <c r="E131" s="7"/>
      <c r="F131" s="7"/>
      <c r="G131" s="7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customFormat="false" ht="15.75" hidden="false" customHeight="false" outlineLevel="0" collapsed="false">
      <c r="A132" s="2"/>
      <c r="B132" s="7"/>
      <c r="C132" s="7"/>
      <c r="D132" s="6" t="s">
        <v>133</v>
      </c>
      <c r="E132" s="7"/>
      <c r="F132" s="7"/>
      <c r="G132" s="7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customFormat="false" ht="15.75" hidden="false" customHeight="false" outlineLevel="0" collapsed="false">
      <c r="A133" s="2"/>
      <c r="B133" s="7"/>
      <c r="C133" s="7"/>
      <c r="D133" s="6" t="s">
        <v>134</v>
      </c>
      <c r="E133" s="7"/>
      <c r="F133" s="7"/>
      <c r="G133" s="7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customFormat="false" ht="15.75" hidden="false" customHeight="false" outlineLevel="0" collapsed="false">
      <c r="A134" s="2"/>
      <c r="B134" s="7"/>
      <c r="C134" s="6" t="s">
        <v>135</v>
      </c>
      <c r="D134" s="7"/>
      <c r="E134" s="7"/>
      <c r="F134" s="7"/>
      <c r="G134" s="7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customFormat="false" ht="15.75" hidden="false" customHeight="false" outlineLevel="0" collapsed="false">
      <c r="A135" s="2"/>
      <c r="B135" s="7"/>
      <c r="C135" s="7"/>
      <c r="D135" s="6" t="s">
        <v>136</v>
      </c>
      <c r="E135" s="7"/>
      <c r="F135" s="7"/>
      <c r="G135" s="7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customFormat="false" ht="15.75" hidden="false" customHeight="false" outlineLevel="0" collapsed="false">
      <c r="A136" s="2"/>
      <c r="B136" s="7"/>
      <c r="C136" s="7"/>
      <c r="D136" s="6" t="s">
        <v>137</v>
      </c>
      <c r="E136" s="7"/>
      <c r="F136" s="7"/>
      <c r="G136" s="7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customFormat="false" ht="15.75" hidden="false" customHeight="false" outlineLevel="0" collapsed="false">
      <c r="A137" s="2"/>
      <c r="B137" s="7"/>
      <c r="C137" s="7"/>
      <c r="D137" s="6" t="s">
        <v>36</v>
      </c>
      <c r="E137" s="7"/>
      <c r="F137" s="7"/>
      <c r="G137" s="7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customFormat="false" ht="15.75" hidden="false" customHeight="false" outlineLevel="0" collapsed="false">
      <c r="A138" s="2"/>
      <c r="B138" s="7"/>
      <c r="C138" s="6" t="s">
        <v>138</v>
      </c>
      <c r="D138" s="7"/>
      <c r="E138" s="7"/>
      <c r="F138" s="7"/>
      <c r="G138" s="7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customFormat="false" ht="15.75" hidden="false" customHeight="false" outlineLevel="0" collapsed="false">
      <c r="A139" s="2"/>
      <c r="B139" s="7"/>
      <c r="C139" s="7"/>
      <c r="D139" s="6" t="s">
        <v>139</v>
      </c>
      <c r="E139" s="7"/>
      <c r="F139" s="7"/>
      <c r="G139" s="7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customFormat="false" ht="15.75" hidden="false" customHeight="false" outlineLevel="0" collapsed="false">
      <c r="A140" s="2"/>
      <c r="B140" s="7"/>
      <c r="C140" s="7"/>
      <c r="D140" s="6" t="s">
        <v>140</v>
      </c>
      <c r="E140" s="7"/>
      <c r="F140" s="7"/>
      <c r="G140" s="7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customFormat="false" ht="15.75" hidden="false" customHeight="false" outlineLevel="0" collapsed="false">
      <c r="A141" s="2"/>
      <c r="B141" s="7"/>
      <c r="C141" s="7"/>
      <c r="D141" s="6" t="s">
        <v>141</v>
      </c>
      <c r="E141" s="7"/>
      <c r="F141" s="7"/>
      <c r="G141" s="7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customFormat="false" ht="15.75" hidden="false" customHeight="false" outlineLevel="0" collapsed="false">
      <c r="A142" s="2"/>
      <c r="B142" s="7"/>
      <c r="C142" s="7"/>
      <c r="D142" s="6" t="s">
        <v>142</v>
      </c>
      <c r="E142" s="7"/>
      <c r="F142" s="7"/>
      <c r="G142" s="7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customFormat="false" ht="15.75" hidden="false" customHeight="false" outlineLevel="0" collapsed="false">
      <c r="A143" s="2"/>
      <c r="B143" s="7"/>
      <c r="C143" s="7"/>
      <c r="D143" s="6" t="s">
        <v>68</v>
      </c>
      <c r="E143" s="7"/>
      <c r="F143" s="7"/>
      <c r="G143" s="7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customFormat="false" ht="15.75" hidden="false" customHeight="false" outlineLevel="0" collapsed="false">
      <c r="A144" s="2"/>
      <c r="B144" s="7"/>
      <c r="C144" s="6" t="s">
        <v>143</v>
      </c>
      <c r="D144" s="7"/>
      <c r="E144" s="7"/>
      <c r="F144" s="7"/>
      <c r="G144" s="7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customFormat="false" ht="15.75" hidden="false" customHeight="false" outlineLevel="0" collapsed="false">
      <c r="A145" s="2"/>
      <c r="B145" s="7"/>
      <c r="C145" s="7"/>
      <c r="D145" s="6" t="s">
        <v>144</v>
      </c>
      <c r="E145" s="7"/>
      <c r="F145" s="7"/>
      <c r="G145" s="7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customFormat="false" ht="15.75" hidden="false" customHeight="false" outlineLevel="0" collapsed="false">
      <c r="A146" s="2"/>
      <c r="B146" s="7"/>
      <c r="C146" s="7"/>
      <c r="D146" s="6" t="s">
        <v>145</v>
      </c>
      <c r="E146" s="7"/>
      <c r="F146" s="7"/>
      <c r="G146" s="7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customFormat="false" ht="15.75" hidden="false" customHeight="false" outlineLevel="0" collapsed="false">
      <c r="A147" s="2"/>
      <c r="B147" s="7"/>
      <c r="C147" s="7"/>
      <c r="D147" s="6" t="s">
        <v>146</v>
      </c>
      <c r="E147" s="7"/>
      <c r="F147" s="7"/>
      <c r="G147" s="7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customFormat="false" ht="15.75" hidden="false" customHeight="false" outlineLevel="0" collapsed="false">
      <c r="A148" s="2"/>
      <c r="B148" s="7"/>
      <c r="C148" s="7"/>
      <c r="D148" s="6" t="s">
        <v>147</v>
      </c>
      <c r="E148" s="7"/>
      <c r="F148" s="7"/>
      <c r="G148" s="7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customFormat="false" ht="15.75" hidden="false" customHeight="false" outlineLevel="0" collapsed="false">
      <c r="A149" s="2"/>
      <c r="B149" s="7"/>
      <c r="C149" s="7"/>
      <c r="D149" s="6" t="s">
        <v>148</v>
      </c>
      <c r="E149" s="7"/>
      <c r="F149" s="7"/>
      <c r="G149" s="7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customFormat="false" ht="15.75" hidden="false" customHeight="false" outlineLevel="0" collapsed="false">
      <c r="A150" s="2"/>
      <c r="B150" s="7"/>
      <c r="C150" s="7"/>
      <c r="D150" s="7"/>
      <c r="E150" s="7"/>
      <c r="F150" s="7"/>
      <c r="G150" s="7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customFormat="false" ht="15.75" hidden="false" customHeight="false" outlineLevel="0" collapsed="false">
      <c r="A151" s="2"/>
      <c r="B151" s="6" t="s">
        <v>149</v>
      </c>
      <c r="C151" s="7"/>
      <c r="D151" s="7"/>
      <c r="E151" s="7"/>
      <c r="F151" s="7"/>
      <c r="G151" s="7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customFormat="false" ht="15.75" hidden="false" customHeight="false" outlineLevel="0" collapsed="false">
      <c r="A152" s="2"/>
      <c r="B152" s="7"/>
      <c r="C152" s="6" t="s">
        <v>150</v>
      </c>
      <c r="D152" s="7"/>
      <c r="E152" s="7"/>
      <c r="F152" s="7"/>
      <c r="G152" s="7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customFormat="false" ht="15.75" hidden="false" customHeight="false" outlineLevel="0" collapsed="false">
      <c r="A153" s="2"/>
      <c r="B153" s="7"/>
      <c r="C153" s="6" t="s">
        <v>151</v>
      </c>
      <c r="D153" s="7"/>
      <c r="E153" s="7"/>
      <c r="F153" s="7"/>
      <c r="G153" s="7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customFormat="false" ht="15.75" hidden="false" customHeight="false" outlineLevel="0" collapsed="false">
      <c r="A154" s="2"/>
      <c r="B154" s="7"/>
      <c r="C154" s="7"/>
      <c r="D154" s="6" t="s">
        <v>152</v>
      </c>
      <c r="E154" s="7"/>
      <c r="F154" s="7"/>
      <c r="G154" s="7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customFormat="false" ht="15.75" hidden="false" customHeight="false" outlineLevel="0" collapsed="false">
      <c r="A155" s="2"/>
      <c r="B155" s="7"/>
      <c r="C155" s="7"/>
      <c r="D155" s="6" t="s">
        <v>153</v>
      </c>
      <c r="E155" s="7"/>
      <c r="F155" s="7"/>
      <c r="G155" s="7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customFormat="false" ht="15.75" hidden="false" customHeight="false" outlineLevel="0" collapsed="false">
      <c r="A156" s="2"/>
      <c r="B156" s="7"/>
      <c r="C156" s="7"/>
      <c r="D156" s="6" t="s">
        <v>154</v>
      </c>
      <c r="E156" s="7"/>
      <c r="F156" s="7"/>
      <c r="G156" s="7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customFormat="false" ht="15.75" hidden="false" customHeight="false" outlineLevel="0" collapsed="false">
      <c r="A157" s="2"/>
      <c r="B157" s="7"/>
      <c r="C157" s="7"/>
      <c r="D157" s="7"/>
      <c r="E157" s="6" t="s">
        <v>155</v>
      </c>
      <c r="F157" s="7"/>
      <c r="G157" s="7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customFormat="false" ht="15.75" hidden="false" customHeight="false" outlineLevel="0" collapsed="false">
      <c r="A158" s="2"/>
      <c r="B158" s="7"/>
      <c r="C158" s="7"/>
      <c r="D158" s="7"/>
      <c r="E158" s="6" t="s">
        <v>156</v>
      </c>
      <c r="F158" s="7"/>
      <c r="G158" s="7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customFormat="false" ht="15.75" hidden="false" customHeight="false" outlineLevel="0" collapsed="false">
      <c r="A159" s="2"/>
      <c r="B159" s="7"/>
      <c r="C159" s="7"/>
      <c r="D159" s="7"/>
      <c r="E159" s="6" t="s">
        <v>157</v>
      </c>
      <c r="F159" s="7"/>
      <c r="G159" s="7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customFormat="false" ht="15.75" hidden="false" customHeight="false" outlineLevel="0" collapsed="false">
      <c r="A160" s="2"/>
      <c r="B160" s="7"/>
      <c r="C160" s="7"/>
      <c r="D160" s="6" t="s">
        <v>158</v>
      </c>
      <c r="E160" s="7"/>
      <c r="F160" s="7"/>
      <c r="G160" s="7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customFormat="false" ht="15.75" hidden="false" customHeight="false" outlineLevel="0" collapsed="false">
      <c r="A161" s="2"/>
      <c r="B161" s="7"/>
      <c r="C161" s="7"/>
      <c r="D161" s="6" t="s">
        <v>50</v>
      </c>
      <c r="E161" s="7"/>
      <c r="F161" s="7"/>
      <c r="G161" s="7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customFormat="false" ht="15.75" hidden="false" customHeight="false" outlineLevel="0" collapsed="false">
      <c r="A162" s="2"/>
      <c r="B162" s="7"/>
      <c r="C162" s="6" t="s">
        <v>159</v>
      </c>
      <c r="D162" s="7"/>
      <c r="E162" s="7"/>
      <c r="F162" s="7"/>
      <c r="G162" s="7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customFormat="false" ht="15.75" hidden="false" customHeight="false" outlineLevel="0" collapsed="false">
      <c r="A163" s="2"/>
      <c r="B163" s="7"/>
      <c r="C163" s="7"/>
      <c r="D163" s="6" t="s">
        <v>160</v>
      </c>
      <c r="E163" s="7"/>
      <c r="F163" s="7"/>
      <c r="G163" s="7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customFormat="false" ht="15.75" hidden="false" customHeight="false" outlineLevel="0" collapsed="false">
      <c r="A164" s="2"/>
      <c r="B164" s="7"/>
      <c r="C164" s="7"/>
      <c r="D164" s="6" t="s">
        <v>161</v>
      </c>
      <c r="E164" s="7"/>
      <c r="F164" s="7"/>
      <c r="G164" s="7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customFormat="false" ht="15.75" hidden="false" customHeight="false" outlineLevel="0" collapsed="false">
      <c r="A165" s="2"/>
      <c r="B165" s="7"/>
      <c r="C165" s="7"/>
      <c r="D165" s="6" t="s">
        <v>162</v>
      </c>
      <c r="E165" s="7"/>
      <c r="F165" s="7"/>
      <c r="G165" s="7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customFormat="false" ht="15.75" hidden="false" customHeight="false" outlineLevel="0" collapsed="false">
      <c r="A166" s="2"/>
      <c r="B166" s="7"/>
      <c r="C166" s="7"/>
      <c r="D166" s="7"/>
      <c r="E166" s="6" t="s">
        <v>163</v>
      </c>
      <c r="F166" s="7"/>
      <c r="G166" s="7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customFormat="false" ht="15.75" hidden="false" customHeight="false" outlineLevel="0" collapsed="false">
      <c r="A167" s="2"/>
      <c r="B167" s="7"/>
      <c r="C167" s="7"/>
      <c r="D167" s="7"/>
      <c r="E167" s="6" t="s">
        <v>164</v>
      </c>
      <c r="F167" s="7"/>
      <c r="G167" s="7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customFormat="false" ht="15.75" hidden="false" customHeight="false" outlineLevel="0" collapsed="false">
      <c r="A168" s="2"/>
      <c r="B168" s="7"/>
      <c r="C168" s="7"/>
      <c r="D168" s="6" t="s">
        <v>165</v>
      </c>
      <c r="E168" s="7"/>
      <c r="F168" s="7"/>
      <c r="G168" s="7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customFormat="false" ht="15.75" hidden="false" customHeight="false" outlineLevel="0" collapsed="false">
      <c r="A169" s="2"/>
      <c r="B169" s="7"/>
      <c r="C169" s="7"/>
      <c r="D169" s="6" t="s">
        <v>166</v>
      </c>
      <c r="E169" s="7"/>
      <c r="F169" s="7"/>
      <c r="G169" s="7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customFormat="false" ht="15.75" hidden="false" customHeight="false" outlineLevel="0" collapsed="false">
      <c r="A170" s="2"/>
      <c r="B170" s="7"/>
      <c r="C170" s="7"/>
      <c r="D170" s="7"/>
      <c r="E170" s="6" t="s">
        <v>167</v>
      </c>
      <c r="F170" s="7"/>
      <c r="G170" s="7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customFormat="false" ht="15.75" hidden="false" customHeight="false" outlineLevel="0" collapsed="false">
      <c r="A171" s="2"/>
      <c r="B171" s="7"/>
      <c r="C171" s="7"/>
      <c r="D171" s="7"/>
      <c r="E171" s="6" t="s">
        <v>168</v>
      </c>
      <c r="F171" s="7"/>
      <c r="G171" s="7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customFormat="false" ht="15.75" hidden="false" customHeight="false" outlineLevel="0" collapsed="false">
      <c r="A172" s="2"/>
      <c r="B172" s="7"/>
      <c r="C172" s="7"/>
      <c r="D172" s="7"/>
      <c r="E172" s="6" t="s">
        <v>169</v>
      </c>
      <c r="F172" s="7"/>
      <c r="G172" s="7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customFormat="false" ht="15.75" hidden="false" customHeight="false" outlineLevel="0" collapsed="false">
      <c r="A173" s="2"/>
      <c r="B173" s="7"/>
      <c r="C173" s="7"/>
      <c r="D173" s="7"/>
      <c r="E173" s="6" t="s">
        <v>170</v>
      </c>
      <c r="F173" s="7"/>
      <c r="G173" s="7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customFormat="false" ht="15.75" hidden="false" customHeight="false" outlineLevel="0" collapsed="false">
      <c r="A174" s="2"/>
      <c r="B174" s="7"/>
      <c r="C174" s="7"/>
      <c r="D174" s="6" t="s">
        <v>171</v>
      </c>
      <c r="E174" s="7"/>
      <c r="F174" s="7"/>
      <c r="G174" s="7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customFormat="false" ht="15.75" hidden="false" customHeight="false" outlineLevel="0" collapsed="false">
      <c r="A175" s="2"/>
      <c r="B175" s="7"/>
      <c r="C175" s="7"/>
      <c r="D175" s="7"/>
      <c r="E175" s="6" t="s">
        <v>172</v>
      </c>
      <c r="F175" s="7"/>
      <c r="G175" s="7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customFormat="false" ht="15.75" hidden="false" customHeight="false" outlineLevel="0" collapsed="false">
      <c r="A176" s="2"/>
      <c r="B176" s="7"/>
      <c r="C176" s="7"/>
      <c r="D176" s="7"/>
      <c r="E176" s="6" t="s">
        <v>173</v>
      </c>
      <c r="F176" s="7"/>
      <c r="G176" s="7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customFormat="false" ht="15.75" hidden="false" customHeight="false" outlineLevel="0" collapsed="false">
      <c r="A177" s="2"/>
      <c r="B177" s="7"/>
      <c r="C177" s="7"/>
      <c r="D177" s="7"/>
      <c r="E177" s="6" t="s">
        <v>174</v>
      </c>
      <c r="F177" s="7"/>
      <c r="G177" s="7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customFormat="false" ht="15.75" hidden="false" customHeight="false" outlineLevel="0" collapsed="false">
      <c r="A178" s="2"/>
      <c r="B178" s="7"/>
      <c r="C178" s="7"/>
      <c r="D178" s="7"/>
      <c r="E178" s="6" t="s">
        <v>175</v>
      </c>
      <c r="F178" s="7"/>
      <c r="G178" s="7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customFormat="false" ht="15.75" hidden="false" customHeight="false" outlineLevel="0" collapsed="false">
      <c r="A179" s="2"/>
      <c r="B179" s="7"/>
      <c r="C179" s="7"/>
      <c r="D179" s="6" t="s">
        <v>176</v>
      </c>
      <c r="E179" s="7"/>
      <c r="F179" s="7"/>
      <c r="G179" s="7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customFormat="false" ht="15.75" hidden="false" customHeight="false" outlineLevel="0" collapsed="false">
      <c r="A180" s="2"/>
      <c r="B180" s="7"/>
      <c r="C180" s="7"/>
      <c r="D180" s="7"/>
      <c r="E180" s="6" t="s">
        <v>177</v>
      </c>
      <c r="F180" s="7"/>
      <c r="G180" s="7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customFormat="false" ht="15.75" hidden="false" customHeight="false" outlineLevel="0" collapsed="false">
      <c r="A181" s="2"/>
      <c r="B181" s="7"/>
      <c r="C181" s="7"/>
      <c r="D181" s="7"/>
      <c r="E181" s="6" t="s">
        <v>178</v>
      </c>
      <c r="F181" s="7"/>
      <c r="G181" s="7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customFormat="false" ht="15.75" hidden="false" customHeight="false" outlineLevel="0" collapsed="false">
      <c r="A182" s="2"/>
      <c r="B182" s="7"/>
      <c r="C182" s="7"/>
      <c r="D182" s="6" t="s">
        <v>97</v>
      </c>
      <c r="E182" s="7"/>
      <c r="F182" s="7"/>
      <c r="G182" s="7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customFormat="false" ht="15.75" hidden="false" customHeight="false" outlineLevel="0" collapsed="false">
      <c r="A183" s="2"/>
      <c r="B183" s="7"/>
      <c r="C183" s="7"/>
      <c r="D183" s="7"/>
      <c r="E183" s="7"/>
      <c r="F183" s="7"/>
      <c r="G183" s="7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customFormat="false" ht="15.75" hidden="false" customHeight="false" outlineLevel="0" collapsed="false">
      <c r="A184" s="2"/>
      <c r="B184" s="6" t="s">
        <v>179</v>
      </c>
      <c r="C184" s="7"/>
      <c r="D184" s="7"/>
      <c r="E184" s="7"/>
      <c r="F184" s="7"/>
      <c r="G184" s="7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customFormat="false" ht="15.75" hidden="false" customHeight="false" outlineLevel="0" collapsed="false">
      <c r="A185" s="2"/>
      <c r="B185" s="7"/>
      <c r="C185" s="6" t="s">
        <v>180</v>
      </c>
      <c r="D185" s="7"/>
      <c r="E185" s="7"/>
      <c r="F185" s="7"/>
      <c r="G185" s="7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customFormat="false" ht="15.75" hidden="false" customHeight="false" outlineLevel="0" collapsed="false">
      <c r="A186" s="2"/>
      <c r="B186" s="7"/>
      <c r="C186" s="6" t="s">
        <v>181</v>
      </c>
      <c r="D186" s="7"/>
      <c r="E186" s="7"/>
      <c r="F186" s="7"/>
      <c r="G186" s="7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customFormat="false" ht="15.75" hidden="false" customHeight="false" outlineLevel="0" collapsed="false">
      <c r="A187" s="2"/>
      <c r="B187" s="7"/>
      <c r="C187" s="7"/>
      <c r="D187" s="6" t="s">
        <v>182</v>
      </c>
      <c r="E187" s="7"/>
      <c r="F187" s="7"/>
      <c r="G187" s="7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customFormat="false" ht="15.75" hidden="false" customHeight="false" outlineLevel="0" collapsed="false">
      <c r="A188" s="2"/>
      <c r="B188" s="7"/>
      <c r="C188" s="7"/>
      <c r="D188" s="7"/>
      <c r="E188" s="6" t="s">
        <v>183</v>
      </c>
      <c r="F188" s="7"/>
      <c r="G188" s="7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customFormat="false" ht="15.75" hidden="false" customHeight="false" outlineLevel="0" collapsed="false">
      <c r="A189" s="2"/>
      <c r="B189" s="7"/>
      <c r="C189" s="7"/>
      <c r="D189" s="7"/>
      <c r="E189" s="6" t="s">
        <v>184</v>
      </c>
      <c r="F189" s="7"/>
      <c r="G189" s="7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customFormat="false" ht="15.75" hidden="false" customHeight="false" outlineLevel="0" collapsed="false">
      <c r="A190" s="2"/>
      <c r="B190" s="7"/>
      <c r="C190" s="7"/>
      <c r="D190" s="7"/>
      <c r="E190" s="6" t="s">
        <v>185</v>
      </c>
      <c r="F190" s="7"/>
      <c r="G190" s="7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customFormat="false" ht="15.75" hidden="false" customHeight="false" outlineLevel="0" collapsed="false">
      <c r="A191" s="2"/>
      <c r="B191" s="7"/>
      <c r="C191" s="7"/>
      <c r="D191" s="6" t="s">
        <v>186</v>
      </c>
      <c r="E191" s="7"/>
      <c r="F191" s="7"/>
      <c r="G191" s="7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customFormat="false" ht="15.75" hidden="false" customHeight="false" outlineLevel="0" collapsed="false">
      <c r="A192" s="2"/>
      <c r="B192" s="7"/>
      <c r="C192" s="7"/>
      <c r="D192" s="7"/>
      <c r="E192" s="6" t="s">
        <v>187</v>
      </c>
      <c r="F192" s="7"/>
      <c r="G192" s="7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customFormat="false" ht="15.75" hidden="false" customHeight="false" outlineLevel="0" collapsed="false">
      <c r="A193" s="2"/>
      <c r="B193" s="7"/>
      <c r="C193" s="7"/>
      <c r="D193" s="7"/>
      <c r="E193" s="6" t="s">
        <v>188</v>
      </c>
      <c r="F193" s="7"/>
      <c r="G193" s="7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customFormat="false" ht="15.75" hidden="false" customHeight="false" outlineLevel="0" collapsed="false">
      <c r="A194" s="2"/>
      <c r="B194" s="7"/>
      <c r="C194" s="7"/>
      <c r="D194" s="6" t="s">
        <v>189</v>
      </c>
      <c r="E194" s="7"/>
      <c r="F194" s="7"/>
      <c r="G194" s="7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customFormat="false" ht="15.75" hidden="false" customHeight="false" outlineLevel="0" collapsed="false">
      <c r="A195" s="2"/>
      <c r="B195" s="7"/>
      <c r="C195" s="7"/>
      <c r="D195" s="7"/>
      <c r="E195" s="6" t="s">
        <v>190</v>
      </c>
      <c r="F195" s="7"/>
      <c r="G195" s="7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customFormat="false" ht="15.75" hidden="false" customHeight="false" outlineLevel="0" collapsed="false">
      <c r="A196" s="2"/>
      <c r="B196" s="7"/>
      <c r="C196" s="7"/>
      <c r="D196" s="6" t="s">
        <v>191</v>
      </c>
      <c r="E196" s="7"/>
      <c r="F196" s="7"/>
      <c r="G196" s="7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customFormat="false" ht="15.75" hidden="false" customHeight="false" outlineLevel="0" collapsed="false">
      <c r="A197" s="2"/>
      <c r="B197" s="7"/>
      <c r="C197" s="7"/>
      <c r="D197" s="7"/>
      <c r="E197" s="7"/>
      <c r="F197" s="7"/>
      <c r="G197" s="7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customFormat="false" ht="15.75" hidden="false" customHeight="false" outlineLevel="0" collapsed="false">
      <c r="A198" s="2"/>
      <c r="B198" s="6" t="s">
        <v>192</v>
      </c>
      <c r="C198" s="7"/>
      <c r="D198" s="7"/>
      <c r="E198" s="7"/>
      <c r="F198" s="7"/>
      <c r="G198" s="7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customFormat="false" ht="15.75" hidden="false" customHeight="false" outlineLevel="0" collapsed="false">
      <c r="A199" s="2"/>
      <c r="B199" s="7"/>
      <c r="C199" s="6" t="s">
        <v>193</v>
      </c>
      <c r="D199" s="7"/>
      <c r="E199" s="7"/>
      <c r="F199" s="7"/>
      <c r="G199" s="7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customFormat="false" ht="15.75" hidden="false" customHeight="false" outlineLevel="0" collapsed="false">
      <c r="A200" s="2"/>
      <c r="B200" s="7"/>
      <c r="C200" s="6" t="s">
        <v>194</v>
      </c>
      <c r="D200" s="7"/>
      <c r="E200" s="7"/>
      <c r="F200" s="7"/>
      <c r="G200" s="7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customFormat="false" ht="15.75" hidden="false" customHeight="false" outlineLevel="0" collapsed="false">
      <c r="A201" s="2"/>
      <c r="B201" s="7"/>
      <c r="C201" s="7"/>
      <c r="D201" s="6" t="s">
        <v>152</v>
      </c>
      <c r="E201" s="7"/>
      <c r="F201" s="7"/>
      <c r="G201" s="7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customFormat="false" ht="15.75" hidden="false" customHeight="false" outlineLevel="0" collapsed="false">
      <c r="A202" s="2"/>
      <c r="B202" s="7"/>
      <c r="C202" s="7"/>
      <c r="D202" s="6" t="s">
        <v>195</v>
      </c>
      <c r="E202" s="7"/>
      <c r="F202" s="7"/>
      <c r="G202" s="7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customFormat="false" ht="15.75" hidden="false" customHeight="false" outlineLevel="0" collapsed="false">
      <c r="A203" s="2"/>
      <c r="B203" s="7"/>
      <c r="C203" s="7"/>
      <c r="D203" s="6" t="s">
        <v>196</v>
      </c>
      <c r="E203" s="7"/>
      <c r="F203" s="7"/>
      <c r="G203" s="7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customFormat="false" ht="15.75" hidden="false" customHeight="false" outlineLevel="0" collapsed="false">
      <c r="A204" s="2"/>
      <c r="B204" s="7"/>
      <c r="C204" s="7"/>
      <c r="D204" s="6" t="s">
        <v>197</v>
      </c>
      <c r="E204" s="7"/>
      <c r="F204" s="7"/>
      <c r="G204" s="7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customFormat="false" ht="15.75" hidden="false" customHeight="false" outlineLevel="0" collapsed="false">
      <c r="A205" s="2"/>
      <c r="B205" s="7"/>
      <c r="C205" s="7"/>
      <c r="D205" s="6" t="s">
        <v>198</v>
      </c>
      <c r="E205" s="7"/>
      <c r="F205" s="7"/>
      <c r="G205" s="7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customFormat="false" ht="15.75" hidden="false" customHeight="false" outlineLevel="0" collapsed="false">
      <c r="A206" s="2"/>
      <c r="B206" s="7"/>
      <c r="C206" s="7"/>
      <c r="D206" s="6" t="s">
        <v>199</v>
      </c>
      <c r="E206" s="7"/>
      <c r="F206" s="7"/>
      <c r="G206" s="7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customFormat="false" ht="15.75" hidden="false" customHeight="false" outlineLevel="0" collapsed="false">
      <c r="A207" s="2"/>
      <c r="B207" s="7"/>
      <c r="C207" s="7"/>
      <c r="D207" s="6" t="s">
        <v>200</v>
      </c>
      <c r="E207" s="7"/>
      <c r="F207" s="7"/>
      <c r="G207" s="7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customFormat="false" ht="15.75" hidden="false" customHeight="false" outlineLevel="0" collapsed="false">
      <c r="A208" s="2"/>
      <c r="B208" s="7"/>
      <c r="C208" s="7"/>
      <c r="D208" s="6" t="s">
        <v>201</v>
      </c>
      <c r="E208" s="7"/>
      <c r="F208" s="7"/>
      <c r="G208" s="7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customFormat="false" ht="15.75" hidden="false" customHeight="false" outlineLevel="0" collapsed="false">
      <c r="A209" s="2"/>
      <c r="B209" s="7"/>
      <c r="C209" s="7"/>
      <c r="D209" s="6" t="s">
        <v>202</v>
      </c>
      <c r="E209" s="7"/>
      <c r="F209" s="7"/>
      <c r="G209" s="7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customFormat="false" ht="15.75" hidden="false" customHeight="false" outlineLevel="0" collapsed="false">
      <c r="A210" s="2"/>
      <c r="B210" s="7"/>
      <c r="C210" s="7"/>
      <c r="D210" s="6" t="s">
        <v>203</v>
      </c>
      <c r="E210" s="7"/>
      <c r="F210" s="7"/>
      <c r="G210" s="7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customFormat="false" ht="15.75" hidden="false" customHeight="false" outlineLevel="0" collapsed="false">
      <c r="A211" s="2"/>
      <c r="B211" s="7"/>
      <c r="C211" s="7"/>
      <c r="D211" s="6" t="s">
        <v>204</v>
      </c>
      <c r="E211" s="7"/>
      <c r="F211" s="7"/>
      <c r="G211" s="7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customFormat="false" ht="15.75" hidden="false" customHeight="false" outlineLevel="0" collapsed="false">
      <c r="A212" s="2"/>
      <c r="B212" s="7"/>
      <c r="C212" s="7"/>
      <c r="D212" s="6" t="s">
        <v>205</v>
      </c>
      <c r="E212" s="7"/>
      <c r="F212" s="7"/>
      <c r="G212" s="7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customFormat="false" ht="15.75" hidden="false" customHeight="false" outlineLevel="0" collapsed="false">
      <c r="A213" s="2"/>
      <c r="B213" s="7"/>
      <c r="C213" s="7"/>
      <c r="D213" s="6" t="s">
        <v>206</v>
      </c>
      <c r="E213" s="7"/>
      <c r="F213" s="7"/>
      <c r="G213" s="7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customFormat="false" ht="15.75" hidden="false" customHeight="false" outlineLevel="0" collapsed="false">
      <c r="A214" s="2"/>
      <c r="B214" s="7"/>
      <c r="C214" s="7"/>
      <c r="D214" s="6" t="s">
        <v>207</v>
      </c>
      <c r="E214" s="7"/>
      <c r="F214" s="7"/>
      <c r="G214" s="7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customFormat="false" ht="15.75" hidden="false" customHeight="false" outlineLevel="0" collapsed="false">
      <c r="A215" s="2"/>
      <c r="B215" s="7"/>
      <c r="C215" s="7"/>
      <c r="D215" s="7"/>
      <c r="E215" s="6" t="s">
        <v>208</v>
      </c>
      <c r="F215" s="7"/>
      <c r="G215" s="7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customFormat="false" ht="15.75" hidden="false" customHeight="false" outlineLevel="0" collapsed="false">
      <c r="A216" s="2"/>
      <c r="B216" s="7"/>
      <c r="C216" s="7"/>
      <c r="D216" s="7"/>
      <c r="E216" s="6" t="s">
        <v>209</v>
      </c>
      <c r="F216" s="7"/>
      <c r="G216" s="7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customFormat="false" ht="15.75" hidden="false" customHeight="false" outlineLevel="0" collapsed="false">
      <c r="A217" s="2"/>
      <c r="B217" s="7"/>
      <c r="C217" s="7"/>
      <c r="D217" s="6" t="s">
        <v>210</v>
      </c>
      <c r="E217" s="7"/>
      <c r="F217" s="7"/>
      <c r="G217" s="7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customFormat="false" ht="15.75" hidden="false" customHeight="false" outlineLevel="0" collapsed="false">
      <c r="A218" s="2"/>
      <c r="B218" s="7"/>
      <c r="C218" s="7"/>
      <c r="D218" s="7"/>
      <c r="E218" s="6" t="s">
        <v>211</v>
      </c>
      <c r="F218" s="7"/>
      <c r="G218" s="7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customFormat="false" ht="15.75" hidden="false" customHeight="false" outlineLevel="0" collapsed="false">
      <c r="A219" s="2"/>
      <c r="B219" s="7"/>
      <c r="C219" s="7"/>
      <c r="D219" s="7"/>
      <c r="E219" s="6" t="s">
        <v>212</v>
      </c>
      <c r="F219" s="7"/>
      <c r="G219" s="7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customFormat="false" ht="15.75" hidden="false" customHeight="false" outlineLevel="0" collapsed="false">
      <c r="A220" s="2"/>
      <c r="B220" s="7"/>
      <c r="C220" s="7"/>
      <c r="D220" s="6" t="s">
        <v>213</v>
      </c>
      <c r="E220" s="7"/>
      <c r="F220" s="7"/>
      <c r="G220" s="7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customFormat="false" ht="15.75" hidden="false" customHeight="false" outlineLevel="0" collapsed="false">
      <c r="A221" s="2"/>
      <c r="B221" s="7"/>
      <c r="C221" s="6" t="s">
        <v>214</v>
      </c>
      <c r="D221" s="7"/>
      <c r="E221" s="7"/>
      <c r="F221" s="7"/>
      <c r="G221" s="7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customFormat="false" ht="15.75" hidden="false" customHeight="false" outlineLevel="0" collapsed="false">
      <c r="A222" s="2"/>
      <c r="B222" s="7"/>
      <c r="C222" s="7"/>
      <c r="D222" s="6" t="s">
        <v>58</v>
      </c>
      <c r="E222" s="7"/>
      <c r="F222" s="7"/>
      <c r="G222" s="7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customFormat="false" ht="15.75" hidden="false" customHeight="false" outlineLevel="0" collapsed="false">
      <c r="A223" s="2"/>
      <c r="B223" s="7"/>
      <c r="C223" s="7"/>
      <c r="D223" s="6" t="s">
        <v>215</v>
      </c>
      <c r="E223" s="7"/>
      <c r="F223" s="7"/>
      <c r="G223" s="7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customFormat="false" ht="15.75" hidden="false" customHeight="false" outlineLevel="0" collapsed="false">
      <c r="A224" s="2"/>
      <c r="B224" s="7"/>
      <c r="C224" s="7"/>
      <c r="D224" s="6" t="s">
        <v>216</v>
      </c>
      <c r="E224" s="7"/>
      <c r="F224" s="7"/>
      <c r="G224" s="7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customFormat="false" ht="15.75" hidden="false" customHeight="false" outlineLevel="0" collapsed="false">
      <c r="A225" s="2"/>
      <c r="B225" s="7"/>
      <c r="C225" s="7"/>
      <c r="D225" s="6" t="s">
        <v>217</v>
      </c>
      <c r="E225" s="7"/>
      <c r="F225" s="7"/>
      <c r="G225" s="7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customFormat="false" ht="15.75" hidden="false" customHeight="false" outlineLevel="0" collapsed="false">
      <c r="A226" s="2"/>
      <c r="B226" s="7"/>
      <c r="C226" s="6" t="s">
        <v>218</v>
      </c>
      <c r="D226" s="7"/>
      <c r="E226" s="7"/>
      <c r="F226" s="7"/>
      <c r="G226" s="7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customFormat="false" ht="15.75" hidden="false" customHeight="false" outlineLevel="0" collapsed="false">
      <c r="A227" s="2"/>
      <c r="B227" s="7"/>
      <c r="C227" s="7"/>
      <c r="D227" s="6" t="s">
        <v>219</v>
      </c>
      <c r="E227" s="7"/>
      <c r="F227" s="7"/>
      <c r="G227" s="7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customFormat="false" ht="15.75" hidden="false" customHeight="false" outlineLevel="0" collapsed="false">
      <c r="A228" s="2"/>
      <c r="B228" s="7"/>
      <c r="C228" s="7"/>
      <c r="D228" s="6" t="s">
        <v>108</v>
      </c>
      <c r="E228" s="7"/>
      <c r="F228" s="7"/>
      <c r="G228" s="7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customFormat="false" ht="15.75" hidden="false" customHeight="false" outlineLevel="0" collapsed="false">
      <c r="A229" s="2"/>
      <c r="B229" s="7"/>
      <c r="C229" s="7"/>
      <c r="D229" s="6" t="s">
        <v>220</v>
      </c>
      <c r="E229" s="7"/>
      <c r="F229" s="7"/>
      <c r="G229" s="7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customFormat="false" ht="15.75" hidden="false" customHeight="false" outlineLevel="0" collapsed="false">
      <c r="A230" s="2"/>
      <c r="B230" s="7"/>
      <c r="C230" s="7"/>
      <c r="D230" s="7"/>
      <c r="E230" s="6" t="s">
        <v>221</v>
      </c>
      <c r="F230" s="7"/>
      <c r="G230" s="7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customFormat="false" ht="15.75" hidden="false" customHeight="false" outlineLevel="0" collapsed="false">
      <c r="A231" s="2"/>
      <c r="B231" s="7"/>
      <c r="C231" s="7"/>
      <c r="D231" s="7"/>
      <c r="E231" s="6" t="s">
        <v>222</v>
      </c>
      <c r="F231" s="7"/>
      <c r="G231" s="7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customFormat="false" ht="15.75" hidden="false" customHeight="false" outlineLevel="0" collapsed="false">
      <c r="A232" s="2"/>
      <c r="B232" s="7"/>
      <c r="C232" s="7"/>
      <c r="D232" s="6" t="s">
        <v>223</v>
      </c>
      <c r="E232" s="7"/>
      <c r="F232" s="7"/>
      <c r="G232" s="7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customFormat="false" ht="15.75" hidden="false" customHeight="false" outlineLevel="0" collapsed="false">
      <c r="A233" s="2"/>
      <c r="B233" s="7"/>
      <c r="C233" s="7"/>
      <c r="D233" s="6" t="s">
        <v>224</v>
      </c>
      <c r="E233" s="7"/>
      <c r="F233" s="7"/>
      <c r="G233" s="7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customFormat="false" ht="15.75" hidden="false" customHeight="false" outlineLevel="0" collapsed="false">
      <c r="A234" s="2"/>
      <c r="B234" s="7"/>
      <c r="C234" s="7"/>
      <c r="D234" s="6" t="s">
        <v>225</v>
      </c>
      <c r="E234" s="7"/>
      <c r="F234" s="7"/>
      <c r="G234" s="7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customFormat="false" ht="15.75" hidden="false" customHeight="false" outlineLevel="0" collapsed="false">
      <c r="A235" s="2"/>
      <c r="B235" s="7"/>
      <c r="C235" s="6" t="s">
        <v>226</v>
      </c>
      <c r="D235" s="7"/>
      <c r="E235" s="7"/>
      <c r="F235" s="7"/>
      <c r="G235" s="7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customFormat="false" ht="15.75" hidden="false" customHeight="false" outlineLevel="0" collapsed="false">
      <c r="A236" s="2"/>
      <c r="B236" s="7"/>
      <c r="C236" s="7"/>
      <c r="D236" s="6" t="s">
        <v>227</v>
      </c>
      <c r="E236" s="7"/>
      <c r="F236" s="7"/>
      <c r="G236" s="7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customFormat="false" ht="15.75" hidden="false" customHeight="false" outlineLevel="0" collapsed="false">
      <c r="A237" s="2"/>
      <c r="B237" s="7"/>
      <c r="C237" s="7"/>
      <c r="D237" s="7"/>
      <c r="E237" s="6" t="s">
        <v>228</v>
      </c>
      <c r="F237" s="7"/>
      <c r="G237" s="7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customFormat="false" ht="15.75" hidden="false" customHeight="false" outlineLevel="0" collapsed="false">
      <c r="A238" s="2"/>
      <c r="B238" s="7"/>
      <c r="C238" s="7"/>
      <c r="D238" s="7"/>
      <c r="E238" s="6" t="s">
        <v>229</v>
      </c>
      <c r="F238" s="7"/>
      <c r="G238" s="7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customFormat="false" ht="15.75" hidden="false" customHeight="false" outlineLevel="0" collapsed="false">
      <c r="A239" s="2"/>
      <c r="B239" s="7"/>
      <c r="C239" s="7"/>
      <c r="D239" s="6" t="s">
        <v>230</v>
      </c>
      <c r="E239" s="7"/>
      <c r="F239" s="7"/>
      <c r="G239" s="7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customFormat="false" ht="15.75" hidden="false" customHeight="false" outlineLevel="0" collapsed="false">
      <c r="A240" s="2"/>
      <c r="B240" s="7"/>
      <c r="C240" s="7"/>
      <c r="D240" s="7"/>
      <c r="E240" s="6" t="s">
        <v>231</v>
      </c>
      <c r="F240" s="7"/>
      <c r="G240" s="7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customFormat="false" ht="15.75" hidden="false" customHeight="false" outlineLevel="0" collapsed="false">
      <c r="A241" s="2"/>
      <c r="B241" s="7"/>
      <c r="C241" s="7"/>
      <c r="D241" s="7"/>
      <c r="E241" s="6" t="s">
        <v>232</v>
      </c>
      <c r="F241" s="7"/>
      <c r="G241" s="7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customFormat="false" ht="15.75" hidden="false" customHeight="false" outlineLevel="0" collapsed="false">
      <c r="A242" s="2"/>
      <c r="B242" s="7"/>
      <c r="C242" s="7"/>
      <c r="D242" s="7"/>
      <c r="E242" s="7"/>
      <c r="F242" s="7"/>
      <c r="G242" s="7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customFormat="false" ht="15.75" hidden="false" customHeight="false" outlineLevel="0" collapsed="false">
      <c r="A243" s="2"/>
      <c r="B243" s="6" t="s">
        <v>233</v>
      </c>
      <c r="C243" s="7"/>
      <c r="D243" s="7"/>
      <c r="E243" s="7"/>
      <c r="F243" s="7"/>
      <c r="G243" s="7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customFormat="false" ht="15.75" hidden="false" customHeight="false" outlineLevel="0" collapsed="false">
      <c r="A244" s="2"/>
      <c r="B244" s="7"/>
      <c r="C244" s="6" t="s">
        <v>234</v>
      </c>
      <c r="D244" s="7"/>
      <c r="E244" s="7"/>
      <c r="F244" s="7"/>
      <c r="G244" s="7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customFormat="false" ht="15.75" hidden="false" customHeight="false" outlineLevel="0" collapsed="false">
      <c r="A245" s="2"/>
      <c r="B245" s="7"/>
      <c r="C245" s="6" t="s">
        <v>235</v>
      </c>
      <c r="D245" s="7"/>
      <c r="E245" s="7"/>
      <c r="F245" s="7"/>
      <c r="G245" s="7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customFormat="false" ht="15.75" hidden="false" customHeight="false" outlineLevel="0" collapsed="false">
      <c r="A246" s="2"/>
      <c r="B246" s="7"/>
      <c r="C246" s="7"/>
      <c r="D246" s="6" t="s">
        <v>236</v>
      </c>
      <c r="E246" s="7"/>
      <c r="F246" s="7"/>
      <c r="G246" s="7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customFormat="false" ht="15.75" hidden="false" customHeight="false" outlineLevel="0" collapsed="false">
      <c r="A247" s="2"/>
      <c r="B247" s="7"/>
      <c r="C247" s="7"/>
      <c r="D247" s="6" t="s">
        <v>237</v>
      </c>
      <c r="E247" s="7"/>
      <c r="F247" s="7"/>
      <c r="G247" s="7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customFormat="false" ht="15.75" hidden="false" customHeight="false" outlineLevel="0" collapsed="false">
      <c r="A248" s="2"/>
      <c r="B248" s="7"/>
      <c r="C248" s="7"/>
      <c r="D248" s="6" t="s">
        <v>238</v>
      </c>
      <c r="E248" s="7"/>
      <c r="F248" s="7"/>
      <c r="G248" s="7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customFormat="false" ht="15.75" hidden="false" customHeight="false" outlineLevel="0" collapsed="false">
      <c r="A249" s="2"/>
      <c r="B249" s="7"/>
      <c r="C249" s="7"/>
      <c r="D249" s="6" t="s">
        <v>239</v>
      </c>
      <c r="E249" s="7"/>
      <c r="F249" s="7"/>
      <c r="G249" s="7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customFormat="false" ht="15.75" hidden="false" customHeight="false" outlineLevel="0" collapsed="false">
      <c r="A250" s="2"/>
      <c r="B250" s="7"/>
      <c r="C250" s="7"/>
      <c r="D250" s="6" t="s">
        <v>240</v>
      </c>
      <c r="E250" s="7"/>
      <c r="F250" s="7"/>
      <c r="G250" s="7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customFormat="false" ht="15.75" hidden="false" customHeight="false" outlineLevel="0" collapsed="false">
      <c r="A251" s="2"/>
      <c r="B251" s="7"/>
      <c r="C251" s="7"/>
      <c r="D251" s="7"/>
      <c r="E251" s="6" t="s">
        <v>241</v>
      </c>
      <c r="F251" s="7"/>
      <c r="G251" s="7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customFormat="false" ht="15.75" hidden="false" customHeight="false" outlineLevel="0" collapsed="false">
      <c r="A252" s="2"/>
      <c r="B252" s="7"/>
      <c r="C252" s="7"/>
      <c r="D252" s="7"/>
      <c r="E252" s="6" t="s">
        <v>242</v>
      </c>
      <c r="F252" s="7"/>
      <c r="G252" s="7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customFormat="false" ht="15.75" hidden="false" customHeight="false" outlineLevel="0" collapsed="false">
      <c r="A253" s="2"/>
      <c r="B253" s="7"/>
      <c r="C253" s="7"/>
      <c r="D253" s="6" t="s">
        <v>243</v>
      </c>
      <c r="E253" s="7"/>
      <c r="F253" s="7"/>
      <c r="G253" s="7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customFormat="false" ht="15.75" hidden="false" customHeight="false" outlineLevel="0" collapsed="false">
      <c r="A254" s="2"/>
      <c r="B254" s="7"/>
      <c r="C254" s="7"/>
      <c r="D254" s="6" t="s">
        <v>244</v>
      </c>
      <c r="E254" s="7"/>
      <c r="F254" s="7"/>
      <c r="G254" s="7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customFormat="false" ht="15.75" hidden="false" customHeight="false" outlineLevel="0" collapsed="false">
      <c r="A255" s="2"/>
      <c r="B255" s="7"/>
      <c r="C255" s="7"/>
      <c r="D255" s="6" t="s">
        <v>245</v>
      </c>
      <c r="E255" s="7"/>
      <c r="F255" s="7"/>
      <c r="G255" s="7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customFormat="false" ht="15.75" hidden="false" customHeight="false" outlineLevel="0" collapsed="false">
      <c r="A256" s="2"/>
      <c r="B256" s="7"/>
      <c r="C256" s="7"/>
      <c r="D256" s="6" t="s">
        <v>246</v>
      </c>
      <c r="E256" s="7"/>
      <c r="F256" s="7"/>
      <c r="G256" s="7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customFormat="false" ht="15.75" hidden="false" customHeight="false" outlineLevel="0" collapsed="false">
      <c r="A257" s="2"/>
      <c r="B257" s="7"/>
      <c r="C257" s="7"/>
      <c r="D257" s="7"/>
      <c r="E257" s="7"/>
      <c r="F257" s="7"/>
      <c r="G257" s="7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customFormat="false" ht="15.75" hidden="false" customHeight="false" outlineLevel="0" collapsed="false">
      <c r="A258" s="2"/>
      <c r="B258" s="6" t="s">
        <v>247</v>
      </c>
      <c r="C258" s="7"/>
      <c r="D258" s="7"/>
      <c r="E258" s="7"/>
      <c r="F258" s="7"/>
      <c r="G258" s="7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customFormat="false" ht="15.75" hidden="false" customHeight="false" outlineLevel="0" collapsed="false">
      <c r="A259" s="2"/>
      <c r="B259" s="7"/>
      <c r="C259" s="6" t="s">
        <v>248</v>
      </c>
      <c r="D259" s="7"/>
      <c r="E259" s="7"/>
      <c r="F259" s="7"/>
      <c r="G259" s="7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customFormat="false" ht="15.75" hidden="false" customHeight="false" outlineLevel="0" collapsed="false">
      <c r="A260" s="2"/>
      <c r="B260" s="7"/>
      <c r="C260" s="6" t="s">
        <v>249</v>
      </c>
      <c r="D260" s="7"/>
      <c r="E260" s="7"/>
      <c r="F260" s="7"/>
      <c r="G260" s="7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customFormat="false" ht="15.75" hidden="false" customHeight="false" outlineLevel="0" collapsed="false">
      <c r="A261" s="2"/>
      <c r="B261" s="7"/>
      <c r="C261" s="7"/>
      <c r="D261" s="6" t="s">
        <v>152</v>
      </c>
      <c r="E261" s="7"/>
      <c r="F261" s="7"/>
      <c r="G261" s="7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customFormat="false" ht="15.75" hidden="false" customHeight="false" outlineLevel="0" collapsed="false">
      <c r="A262" s="2"/>
      <c r="B262" s="7"/>
      <c r="C262" s="7"/>
      <c r="D262" s="6" t="s">
        <v>250</v>
      </c>
      <c r="E262" s="7"/>
      <c r="F262" s="7"/>
      <c r="G262" s="7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customFormat="false" ht="15.75" hidden="false" customHeight="false" outlineLevel="0" collapsed="false">
      <c r="A263" s="2"/>
      <c r="B263" s="7"/>
      <c r="C263" s="7"/>
      <c r="D263" s="6" t="s">
        <v>251</v>
      </c>
      <c r="E263" s="7"/>
      <c r="F263" s="7"/>
      <c r="G263" s="7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customFormat="false" ht="15.75" hidden="false" customHeight="false" outlineLevel="0" collapsed="false">
      <c r="A264" s="2"/>
      <c r="B264" s="7"/>
      <c r="C264" s="7"/>
      <c r="D264" s="6" t="s">
        <v>252</v>
      </c>
      <c r="E264" s="7"/>
      <c r="F264" s="7"/>
      <c r="G264" s="7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customFormat="false" ht="15.75" hidden="false" customHeight="false" outlineLevel="0" collapsed="false">
      <c r="A265" s="2"/>
      <c r="B265" s="7"/>
      <c r="C265" s="7"/>
      <c r="D265" s="6" t="s">
        <v>253</v>
      </c>
      <c r="E265" s="7"/>
      <c r="F265" s="7"/>
      <c r="G265" s="7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customFormat="false" ht="15.75" hidden="false" customHeight="false" outlineLevel="0" collapsed="false">
      <c r="A266" s="2"/>
      <c r="B266" s="7"/>
      <c r="C266" s="7"/>
      <c r="D266" s="7"/>
      <c r="E266" s="6" t="s">
        <v>254</v>
      </c>
      <c r="F266" s="7"/>
      <c r="G266" s="7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customFormat="false" ht="15.75" hidden="false" customHeight="false" outlineLevel="0" collapsed="false">
      <c r="A267" s="2"/>
      <c r="B267" s="7"/>
      <c r="C267" s="7"/>
      <c r="D267" s="7"/>
      <c r="E267" s="6" t="s">
        <v>255</v>
      </c>
      <c r="F267" s="7"/>
      <c r="G267" s="7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customFormat="false" ht="15.75" hidden="false" customHeight="false" outlineLevel="0" collapsed="false">
      <c r="A268" s="2"/>
      <c r="B268" s="7"/>
      <c r="C268" s="7"/>
      <c r="D268" s="7"/>
      <c r="E268" s="6" t="s">
        <v>256</v>
      </c>
      <c r="F268" s="7"/>
      <c r="G268" s="7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customFormat="false" ht="15.75" hidden="false" customHeight="false" outlineLevel="0" collapsed="false">
      <c r="A269" s="2"/>
      <c r="B269" s="7"/>
      <c r="C269" s="7"/>
      <c r="D269" s="6" t="s">
        <v>257</v>
      </c>
      <c r="E269" s="7"/>
      <c r="F269" s="7"/>
      <c r="G269" s="7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customFormat="false" ht="15.75" hidden="false" customHeight="false" outlineLevel="0" collapsed="false">
      <c r="A270" s="2"/>
      <c r="B270" s="7"/>
      <c r="C270" s="7"/>
      <c r="D270" s="6" t="s">
        <v>258</v>
      </c>
      <c r="E270" s="7"/>
      <c r="F270" s="7"/>
      <c r="G270" s="7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customFormat="false" ht="15.75" hidden="false" customHeight="false" outlineLevel="0" collapsed="false">
      <c r="A271" s="2"/>
      <c r="B271" s="7"/>
      <c r="C271" s="7"/>
      <c r="D271" s="6" t="s">
        <v>259</v>
      </c>
      <c r="E271" s="7"/>
      <c r="F271" s="7"/>
      <c r="G271" s="7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customFormat="false" ht="15.75" hidden="false" customHeight="false" outlineLevel="0" collapsed="false">
      <c r="A272" s="2"/>
      <c r="B272" s="7"/>
      <c r="C272" s="7"/>
      <c r="D272" s="7"/>
      <c r="E272" s="6" t="s">
        <v>260</v>
      </c>
      <c r="F272" s="7"/>
      <c r="G272" s="7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customFormat="false" ht="15.75" hidden="false" customHeight="false" outlineLevel="0" collapsed="false">
      <c r="A273" s="2"/>
      <c r="B273" s="7"/>
      <c r="C273" s="7"/>
      <c r="D273" s="7"/>
      <c r="E273" s="6" t="s">
        <v>261</v>
      </c>
      <c r="F273" s="7"/>
      <c r="G273" s="7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customFormat="false" ht="15.75" hidden="false" customHeight="false" outlineLevel="0" collapsed="false">
      <c r="A274" s="2"/>
      <c r="B274" s="7"/>
      <c r="C274" s="7"/>
      <c r="D274" s="6" t="s">
        <v>262</v>
      </c>
      <c r="E274" s="7"/>
      <c r="F274" s="7"/>
      <c r="G274" s="7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customFormat="false" ht="15.75" hidden="false" customHeight="false" outlineLevel="0" collapsed="false">
      <c r="A275" s="2"/>
      <c r="B275" s="7"/>
      <c r="C275" s="7"/>
      <c r="D275" s="6" t="s">
        <v>263</v>
      </c>
      <c r="E275" s="7"/>
      <c r="F275" s="7"/>
      <c r="G275" s="7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customFormat="false" ht="15.75" hidden="false" customHeight="false" outlineLevel="0" collapsed="false">
      <c r="A276" s="2"/>
      <c r="B276" s="7"/>
      <c r="C276" s="7"/>
      <c r="D276" s="7"/>
      <c r="E276" s="7"/>
      <c r="F276" s="7"/>
      <c r="G276" s="7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customFormat="false" ht="15.75" hidden="false" customHeight="false" outlineLevel="0" collapsed="false">
      <c r="A277" s="5" t="s">
        <v>264</v>
      </c>
      <c r="B277" s="6" t="s">
        <v>265</v>
      </c>
      <c r="C277" s="7"/>
      <c r="D277" s="7"/>
      <c r="E277" s="7"/>
      <c r="F277" s="7"/>
      <c r="G277" s="7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customFormat="false" ht="15.75" hidden="false" customHeight="false" outlineLevel="0" collapsed="false">
      <c r="A278" s="2"/>
      <c r="B278" s="7"/>
      <c r="C278" s="6" t="s">
        <v>266</v>
      </c>
      <c r="D278" s="7"/>
      <c r="E278" s="7"/>
      <c r="F278" s="7"/>
      <c r="G278" s="7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customFormat="false" ht="15.75" hidden="false" customHeight="false" outlineLevel="0" collapsed="false">
      <c r="A279" s="2"/>
      <c r="B279" s="7"/>
      <c r="C279" s="6" t="s">
        <v>267</v>
      </c>
      <c r="D279" s="7"/>
      <c r="E279" s="7"/>
      <c r="F279" s="7"/>
      <c r="G279" s="7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customFormat="false" ht="15.75" hidden="false" customHeight="false" outlineLevel="0" collapsed="false">
      <c r="A280" s="2"/>
      <c r="B280" s="7"/>
      <c r="C280" s="7"/>
      <c r="D280" s="6" t="s">
        <v>268</v>
      </c>
      <c r="E280" s="7"/>
      <c r="F280" s="7"/>
      <c r="G280" s="7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customFormat="false" ht="15.75" hidden="false" customHeight="false" outlineLevel="0" collapsed="false">
      <c r="A281" s="2"/>
      <c r="B281" s="7"/>
      <c r="C281" s="7"/>
      <c r="D281" s="7"/>
      <c r="E281" s="6" t="s">
        <v>269</v>
      </c>
      <c r="F281" s="7"/>
      <c r="G281" s="7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customFormat="false" ht="15.75" hidden="false" customHeight="false" outlineLevel="0" collapsed="false">
      <c r="A282" s="2"/>
      <c r="B282" s="7"/>
      <c r="C282" s="7"/>
      <c r="D282" s="6" t="s">
        <v>270</v>
      </c>
      <c r="E282" s="7"/>
      <c r="F282" s="7"/>
      <c r="G282" s="7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customFormat="false" ht="15.75" hidden="false" customHeight="false" outlineLevel="0" collapsed="false">
      <c r="A283" s="2"/>
      <c r="B283" s="7"/>
      <c r="C283" s="7"/>
      <c r="D283" s="7"/>
      <c r="E283" s="6" t="s">
        <v>271</v>
      </c>
      <c r="F283" s="7"/>
      <c r="G283" s="7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customFormat="false" ht="15.75" hidden="false" customHeight="false" outlineLevel="0" collapsed="false">
      <c r="A284" s="2"/>
      <c r="B284" s="7"/>
      <c r="C284" s="7"/>
      <c r="D284" s="6" t="s">
        <v>272</v>
      </c>
      <c r="E284" s="7"/>
      <c r="F284" s="7"/>
      <c r="G284" s="7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customFormat="false" ht="15.75" hidden="false" customHeight="false" outlineLevel="0" collapsed="false">
      <c r="A285" s="2"/>
      <c r="B285" s="7"/>
      <c r="C285" s="7"/>
      <c r="D285" s="7"/>
      <c r="E285" s="6" t="s">
        <v>273</v>
      </c>
      <c r="F285" s="7"/>
      <c r="G285" s="7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customFormat="false" ht="15.75" hidden="false" customHeight="false" outlineLevel="0" collapsed="false">
      <c r="A286" s="2"/>
      <c r="B286" s="7"/>
      <c r="C286" s="7"/>
      <c r="D286" s="7"/>
      <c r="E286" s="6" t="s">
        <v>274</v>
      </c>
      <c r="F286" s="7"/>
      <c r="G286" s="7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customFormat="false" ht="15.75" hidden="false" customHeight="false" outlineLevel="0" collapsed="false">
      <c r="A287" s="2"/>
      <c r="B287" s="7"/>
      <c r="C287" s="7"/>
      <c r="D287" s="6" t="s">
        <v>275</v>
      </c>
      <c r="E287" s="7"/>
      <c r="F287" s="7"/>
      <c r="G287" s="7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customFormat="false" ht="15.75" hidden="false" customHeight="false" outlineLevel="0" collapsed="false">
      <c r="A288" s="2"/>
      <c r="B288" s="7"/>
      <c r="C288" s="7"/>
      <c r="D288" s="6" t="s">
        <v>50</v>
      </c>
      <c r="E288" s="7"/>
      <c r="F288" s="7"/>
      <c r="G288" s="7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customFormat="false" ht="15.75" hidden="false" customHeight="false" outlineLevel="0" collapsed="false">
      <c r="A289" s="2"/>
      <c r="B289" s="7"/>
      <c r="C289" s="6" t="s">
        <v>276</v>
      </c>
      <c r="D289" s="7"/>
      <c r="E289" s="7"/>
      <c r="F289" s="7"/>
      <c r="G289" s="7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customFormat="false" ht="15.75" hidden="false" customHeight="false" outlineLevel="0" collapsed="false">
      <c r="A290" s="2"/>
      <c r="B290" s="7"/>
      <c r="C290" s="7"/>
      <c r="D290" s="6" t="s">
        <v>58</v>
      </c>
      <c r="E290" s="7"/>
      <c r="F290" s="7"/>
      <c r="G290" s="7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customFormat="false" ht="15.75" hidden="false" customHeight="false" outlineLevel="0" collapsed="false">
      <c r="A291" s="2"/>
      <c r="B291" s="7"/>
      <c r="C291" s="7"/>
      <c r="D291" s="6" t="s">
        <v>277</v>
      </c>
      <c r="E291" s="7"/>
      <c r="F291" s="7"/>
      <c r="G291" s="7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customFormat="false" ht="15.75" hidden="false" customHeight="false" outlineLevel="0" collapsed="false">
      <c r="A292" s="2"/>
      <c r="B292" s="7"/>
      <c r="C292" s="7"/>
      <c r="D292" s="6" t="s">
        <v>278</v>
      </c>
      <c r="E292" s="7"/>
      <c r="F292" s="7"/>
      <c r="G292" s="7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customFormat="false" ht="15.75" hidden="false" customHeight="false" outlineLevel="0" collapsed="false">
      <c r="A293" s="2"/>
      <c r="B293" s="7"/>
      <c r="C293" s="7"/>
      <c r="D293" s="6" t="s">
        <v>279</v>
      </c>
      <c r="E293" s="7"/>
      <c r="F293" s="7"/>
      <c r="G293" s="7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customFormat="false" ht="15.75" hidden="false" customHeight="false" outlineLevel="0" collapsed="false">
      <c r="A294" s="2"/>
      <c r="B294" s="7"/>
      <c r="C294" s="7"/>
      <c r="D294" s="6" t="s">
        <v>280</v>
      </c>
      <c r="E294" s="7"/>
      <c r="F294" s="7"/>
      <c r="G294" s="7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customFormat="false" ht="15.75" hidden="false" customHeight="false" outlineLevel="0" collapsed="false">
      <c r="A295" s="2"/>
      <c r="B295" s="7"/>
      <c r="C295" s="7"/>
      <c r="D295" s="6" t="s">
        <v>281</v>
      </c>
      <c r="E295" s="7"/>
      <c r="F295" s="7"/>
      <c r="G295" s="7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customFormat="false" ht="15.75" hidden="false" customHeight="false" outlineLevel="0" collapsed="false">
      <c r="A296" s="2"/>
      <c r="B296" s="7"/>
      <c r="C296" s="7"/>
      <c r="D296" s="6" t="s">
        <v>282</v>
      </c>
      <c r="E296" s="7"/>
      <c r="F296" s="7"/>
      <c r="G296" s="7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customFormat="false" ht="15.75" hidden="false" customHeight="false" outlineLevel="0" collapsed="false">
      <c r="A297" s="2"/>
      <c r="B297" s="7"/>
      <c r="C297" s="6" t="s">
        <v>283</v>
      </c>
      <c r="D297" s="7"/>
      <c r="E297" s="7"/>
      <c r="F297" s="7"/>
      <c r="G297" s="7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customFormat="false" ht="15.75" hidden="false" customHeight="false" outlineLevel="0" collapsed="false">
      <c r="A298" s="2"/>
      <c r="B298" s="7"/>
      <c r="C298" s="7"/>
      <c r="D298" s="6" t="s">
        <v>139</v>
      </c>
      <c r="E298" s="7"/>
      <c r="F298" s="7"/>
      <c r="G298" s="7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customFormat="false" ht="15.75" hidden="false" customHeight="false" outlineLevel="0" collapsed="false">
      <c r="A299" s="2"/>
      <c r="B299" s="7"/>
      <c r="C299" s="7"/>
      <c r="D299" s="6" t="s">
        <v>284</v>
      </c>
      <c r="E299" s="7"/>
      <c r="F299" s="7"/>
      <c r="G299" s="7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customFormat="false" ht="15.75" hidden="false" customHeight="false" outlineLevel="0" collapsed="false">
      <c r="A300" s="2"/>
      <c r="B300" s="7"/>
      <c r="C300" s="7"/>
      <c r="D300" s="6" t="s">
        <v>285</v>
      </c>
      <c r="E300" s="7"/>
      <c r="F300" s="7"/>
      <c r="G300" s="7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customFormat="false" ht="15.75" hidden="false" customHeight="false" outlineLevel="0" collapsed="false">
      <c r="A301" s="2"/>
      <c r="B301" s="7"/>
      <c r="C301" s="7"/>
      <c r="D301" s="6" t="s">
        <v>286</v>
      </c>
      <c r="E301" s="7"/>
      <c r="F301" s="7"/>
      <c r="G301" s="7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customFormat="false" ht="15.75" hidden="false" customHeight="false" outlineLevel="0" collapsed="false">
      <c r="A302" s="2"/>
      <c r="B302" s="7"/>
      <c r="C302" s="7"/>
      <c r="D302" s="6" t="s">
        <v>287</v>
      </c>
      <c r="E302" s="7"/>
      <c r="F302" s="7"/>
      <c r="G302" s="7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customFormat="false" ht="15.75" hidden="false" customHeight="false" outlineLevel="0" collapsed="false">
      <c r="A303" s="2"/>
      <c r="B303" s="7"/>
      <c r="C303" s="7"/>
      <c r="D303" s="6" t="s">
        <v>225</v>
      </c>
      <c r="E303" s="7"/>
      <c r="F303" s="7"/>
      <c r="G303" s="7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customFormat="false" ht="15.75" hidden="false" customHeight="false" outlineLevel="0" collapsed="false">
      <c r="A304" s="2"/>
      <c r="B304" s="7"/>
      <c r="C304" s="6" t="s">
        <v>288</v>
      </c>
      <c r="D304" s="7"/>
      <c r="E304" s="7"/>
      <c r="F304" s="7"/>
      <c r="G304" s="7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customFormat="false" ht="15.75" hidden="false" customHeight="false" outlineLevel="0" collapsed="false">
      <c r="A305" s="2"/>
      <c r="B305" s="7"/>
      <c r="C305" s="7"/>
      <c r="D305" s="6" t="s">
        <v>289</v>
      </c>
      <c r="E305" s="7"/>
      <c r="F305" s="7"/>
      <c r="G305" s="7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customFormat="false" ht="15.75" hidden="false" customHeight="false" outlineLevel="0" collapsed="false">
      <c r="A306" s="2"/>
      <c r="B306" s="7"/>
      <c r="C306" s="7"/>
      <c r="D306" s="6" t="s">
        <v>290</v>
      </c>
      <c r="E306" s="7"/>
      <c r="F306" s="7"/>
      <c r="G306" s="7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customFormat="false" ht="15.75" hidden="false" customHeight="false" outlineLevel="0" collapsed="false">
      <c r="A307" s="2"/>
      <c r="B307" s="7"/>
      <c r="C307" s="7"/>
      <c r="D307" s="6" t="s">
        <v>291</v>
      </c>
      <c r="E307" s="7"/>
      <c r="F307" s="7"/>
      <c r="G307" s="7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customFormat="false" ht="15.75" hidden="false" customHeight="false" outlineLevel="0" collapsed="false">
      <c r="A308" s="2"/>
      <c r="B308" s="7"/>
      <c r="C308" s="6" t="s">
        <v>292</v>
      </c>
      <c r="D308" s="7"/>
      <c r="E308" s="7"/>
      <c r="F308" s="7"/>
      <c r="G308" s="7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customFormat="false" ht="15.75" hidden="false" customHeight="false" outlineLevel="0" collapsed="false">
      <c r="A309" s="2"/>
      <c r="B309" s="7"/>
      <c r="C309" s="7"/>
      <c r="D309" s="7"/>
      <c r="E309" s="6" t="s">
        <v>293</v>
      </c>
      <c r="F309" s="7"/>
      <c r="G309" s="7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customFormat="false" ht="15.75" hidden="false" customHeight="false" outlineLevel="0" collapsed="false">
      <c r="A310" s="2"/>
      <c r="B310" s="7"/>
      <c r="C310" s="7"/>
      <c r="D310" s="6" t="s">
        <v>294</v>
      </c>
      <c r="E310" s="7"/>
      <c r="F310" s="7"/>
      <c r="G310" s="7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customFormat="false" ht="15.75" hidden="false" customHeight="false" outlineLevel="0" collapsed="false">
      <c r="A311" s="2"/>
      <c r="B311" s="7"/>
      <c r="C311" s="6" t="s">
        <v>295</v>
      </c>
      <c r="D311" s="7"/>
      <c r="E311" s="7"/>
      <c r="F311" s="7"/>
      <c r="G311" s="7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customFormat="false" ht="15.75" hidden="false" customHeight="false" outlineLevel="0" collapsed="false">
      <c r="A312" s="2"/>
      <c r="B312" s="7"/>
      <c r="C312" s="7"/>
      <c r="D312" s="6" t="s">
        <v>296</v>
      </c>
      <c r="E312" s="7"/>
      <c r="F312" s="7"/>
      <c r="G312" s="7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customFormat="false" ht="15.75" hidden="false" customHeight="false" outlineLevel="0" collapsed="false">
      <c r="A313" s="2"/>
      <c r="B313" s="7"/>
      <c r="C313" s="6" t="s">
        <v>297</v>
      </c>
      <c r="D313" s="7"/>
      <c r="E313" s="7"/>
      <c r="F313" s="7"/>
      <c r="G313" s="7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customFormat="false" ht="15.75" hidden="false" customHeight="false" outlineLevel="0" collapsed="false">
      <c r="A314" s="2"/>
      <c r="B314" s="7"/>
      <c r="C314" s="7"/>
      <c r="D314" s="6" t="s">
        <v>298</v>
      </c>
      <c r="E314" s="7"/>
      <c r="F314" s="7"/>
      <c r="G314" s="7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customFormat="false" ht="15.75" hidden="false" customHeight="false" outlineLevel="0" collapsed="false">
      <c r="A315" s="2"/>
      <c r="B315" s="7"/>
      <c r="C315" s="7"/>
      <c r="D315" s="6" t="s">
        <v>299</v>
      </c>
      <c r="E315" s="7"/>
      <c r="F315" s="7"/>
      <c r="G315" s="7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customFormat="false" ht="15.75" hidden="false" customHeight="false" outlineLevel="0" collapsed="false">
      <c r="A316" s="2"/>
      <c r="B316" s="7"/>
      <c r="C316" s="7"/>
      <c r="D316" s="6" t="s">
        <v>300</v>
      </c>
      <c r="E316" s="7"/>
      <c r="F316" s="7"/>
      <c r="G316" s="7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customFormat="false" ht="15.75" hidden="false" customHeight="false" outlineLevel="0" collapsed="false">
      <c r="A317" s="2"/>
      <c r="B317" s="7"/>
      <c r="C317" s="6" t="s">
        <v>301</v>
      </c>
      <c r="D317" s="7"/>
      <c r="E317" s="7"/>
      <c r="F317" s="7"/>
      <c r="G317" s="7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customFormat="false" ht="15.75" hidden="false" customHeight="false" outlineLevel="0" collapsed="false">
      <c r="A318" s="2"/>
      <c r="B318" s="7"/>
      <c r="C318" s="7"/>
      <c r="D318" s="6" t="s">
        <v>302</v>
      </c>
      <c r="E318" s="7"/>
      <c r="F318" s="7"/>
      <c r="G318" s="7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customFormat="false" ht="15.75" hidden="false" customHeight="false" outlineLevel="0" collapsed="false">
      <c r="A319" s="2"/>
      <c r="B319" s="7"/>
      <c r="C319" s="6" t="s">
        <v>303</v>
      </c>
      <c r="D319" s="7"/>
      <c r="E319" s="7"/>
      <c r="F319" s="7"/>
      <c r="G319" s="7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customFormat="false" ht="15.75" hidden="false" customHeight="false" outlineLevel="0" collapsed="false">
      <c r="A320" s="2"/>
      <c r="B320" s="7"/>
      <c r="C320" s="7"/>
      <c r="D320" s="6" t="s">
        <v>304</v>
      </c>
      <c r="E320" s="7"/>
      <c r="F320" s="7"/>
      <c r="G320" s="7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customFormat="false" ht="15.75" hidden="false" customHeight="false" outlineLevel="0" collapsed="false">
      <c r="A321" s="2"/>
      <c r="B321" s="7"/>
      <c r="C321" s="7"/>
      <c r="D321" s="6" t="s">
        <v>305</v>
      </c>
      <c r="E321" s="7"/>
      <c r="F321" s="7"/>
      <c r="G321" s="7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customFormat="false" ht="15.75" hidden="false" customHeight="false" outlineLevel="0" collapsed="false">
      <c r="A322" s="2"/>
      <c r="B322" s="7"/>
      <c r="C322" s="7"/>
      <c r="D322" s="6" t="s">
        <v>306</v>
      </c>
      <c r="E322" s="7"/>
      <c r="F322" s="7"/>
      <c r="G322" s="7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customFormat="false" ht="15.75" hidden="false" customHeight="false" outlineLevel="0" collapsed="false">
      <c r="A323" s="2"/>
      <c r="B323" s="7"/>
      <c r="C323" s="7"/>
      <c r="D323" s="7"/>
      <c r="E323" s="7"/>
      <c r="F323" s="7"/>
      <c r="G323" s="7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customFormat="false" ht="15.75" hidden="false" customHeight="false" outlineLevel="0" collapsed="false">
      <c r="A324" s="5" t="s">
        <v>307</v>
      </c>
      <c r="B324" s="6" t="s">
        <v>307</v>
      </c>
      <c r="C324" s="7"/>
      <c r="D324" s="7"/>
      <c r="E324" s="7"/>
      <c r="F324" s="7"/>
      <c r="G324" s="7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customFormat="false" ht="15.75" hidden="false" customHeight="false" outlineLevel="0" collapsed="false">
      <c r="A325" s="2"/>
      <c r="B325" s="7"/>
      <c r="C325" s="6" t="s">
        <v>308</v>
      </c>
      <c r="D325" s="7"/>
      <c r="E325" s="7"/>
      <c r="F325" s="7"/>
      <c r="G325" s="7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customFormat="false" ht="15.75" hidden="false" customHeight="false" outlineLevel="0" collapsed="false">
      <c r="A326" s="2"/>
      <c r="B326" s="7"/>
      <c r="C326" s="6" t="s">
        <v>309</v>
      </c>
      <c r="D326" s="7"/>
      <c r="E326" s="7"/>
      <c r="F326" s="7"/>
      <c r="G326" s="7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customFormat="false" ht="15.75" hidden="false" customHeight="false" outlineLevel="0" collapsed="false">
      <c r="A327" s="2"/>
      <c r="B327" s="7"/>
      <c r="C327" s="7"/>
      <c r="D327" s="6" t="s">
        <v>152</v>
      </c>
      <c r="E327" s="7"/>
      <c r="F327" s="7"/>
      <c r="G327" s="7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customFormat="false" ht="15.75" hidden="false" customHeight="false" outlineLevel="0" collapsed="false">
      <c r="A328" s="2"/>
      <c r="B328" s="7"/>
      <c r="C328" s="7"/>
      <c r="D328" s="6" t="s">
        <v>310</v>
      </c>
      <c r="E328" s="7"/>
      <c r="F328" s="7"/>
      <c r="G328" s="7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customFormat="false" ht="15.75" hidden="false" customHeight="false" outlineLevel="0" collapsed="false">
      <c r="A329" s="2"/>
      <c r="B329" s="7"/>
      <c r="C329" s="7"/>
      <c r="D329" s="6" t="s">
        <v>311</v>
      </c>
      <c r="E329" s="7"/>
      <c r="F329" s="7"/>
      <c r="G329" s="7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customFormat="false" ht="15.75" hidden="false" customHeight="false" outlineLevel="0" collapsed="false">
      <c r="A330" s="2"/>
      <c r="B330" s="7"/>
      <c r="C330" s="6" t="s">
        <v>312</v>
      </c>
      <c r="D330" s="7"/>
      <c r="E330" s="7"/>
      <c r="F330" s="7"/>
      <c r="G330" s="7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customFormat="false" ht="15.75" hidden="false" customHeight="false" outlineLevel="0" collapsed="false">
      <c r="A331" s="2"/>
      <c r="B331" s="7"/>
      <c r="C331" s="7"/>
      <c r="D331" s="6" t="s">
        <v>313</v>
      </c>
      <c r="E331" s="7"/>
      <c r="F331" s="7"/>
      <c r="G331" s="7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customFormat="false" ht="15.75" hidden="false" customHeight="false" outlineLevel="0" collapsed="false">
      <c r="A332" s="2"/>
      <c r="B332" s="7"/>
      <c r="C332" s="7"/>
      <c r="D332" s="7"/>
      <c r="E332" s="6" t="s">
        <v>314</v>
      </c>
      <c r="F332" s="7"/>
      <c r="G332" s="7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customFormat="false" ht="15.75" hidden="false" customHeight="false" outlineLevel="0" collapsed="false">
      <c r="A333" s="2"/>
      <c r="B333" s="7"/>
      <c r="C333" s="7"/>
      <c r="D333" s="6" t="s">
        <v>315</v>
      </c>
      <c r="E333" s="7"/>
      <c r="F333" s="7"/>
      <c r="G333" s="7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customFormat="false" ht="15.75" hidden="false" customHeight="false" outlineLevel="0" collapsed="false">
      <c r="A334" s="2"/>
      <c r="B334" s="7"/>
      <c r="C334" s="7"/>
      <c r="D334" s="6" t="s">
        <v>316</v>
      </c>
      <c r="E334" s="7"/>
      <c r="F334" s="7"/>
      <c r="G334" s="7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customFormat="false" ht="15.75" hidden="false" customHeight="false" outlineLevel="0" collapsed="false">
      <c r="A335" s="2"/>
      <c r="B335" s="7"/>
      <c r="C335" s="7"/>
      <c r="D335" s="7"/>
      <c r="E335" s="6" t="s">
        <v>317</v>
      </c>
      <c r="F335" s="7"/>
      <c r="G335" s="7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customFormat="false" ht="15.75" hidden="false" customHeight="false" outlineLevel="0" collapsed="false">
      <c r="A336" s="2"/>
      <c r="B336" s="7"/>
      <c r="C336" s="7"/>
      <c r="D336" s="7"/>
      <c r="E336" s="6" t="s">
        <v>318</v>
      </c>
      <c r="F336" s="7"/>
      <c r="G336" s="7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customFormat="false" ht="15.75" hidden="false" customHeight="false" outlineLevel="0" collapsed="false">
      <c r="A337" s="2"/>
      <c r="B337" s="7"/>
      <c r="C337" s="7"/>
      <c r="D337" s="7"/>
      <c r="E337" s="6" t="s">
        <v>319</v>
      </c>
      <c r="F337" s="7"/>
      <c r="G337" s="7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customFormat="false" ht="15.75" hidden="false" customHeight="false" outlineLevel="0" collapsed="false">
      <c r="A338" s="2"/>
      <c r="B338" s="7"/>
      <c r="C338" s="7"/>
      <c r="D338" s="6" t="s">
        <v>320</v>
      </c>
      <c r="E338" s="7"/>
      <c r="F338" s="7"/>
      <c r="G338" s="7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customFormat="false" ht="15.75" hidden="false" customHeight="false" outlineLevel="0" collapsed="false">
      <c r="A339" s="2"/>
      <c r="B339" s="7"/>
      <c r="C339" s="7"/>
      <c r="D339" s="7"/>
      <c r="E339" s="6" t="s">
        <v>321</v>
      </c>
      <c r="F339" s="7"/>
      <c r="G339" s="7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customFormat="false" ht="15.75" hidden="false" customHeight="false" outlineLevel="0" collapsed="false">
      <c r="A340" s="2"/>
      <c r="B340" s="7"/>
      <c r="C340" s="7"/>
      <c r="D340" s="7"/>
      <c r="E340" s="6" t="s">
        <v>322</v>
      </c>
      <c r="F340" s="7"/>
      <c r="G340" s="7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customFormat="false" ht="15.75" hidden="false" customHeight="false" outlineLevel="0" collapsed="false">
      <c r="A341" s="2"/>
      <c r="B341" s="7"/>
      <c r="C341" s="7"/>
      <c r="D341" s="7"/>
      <c r="E341" s="6" t="s">
        <v>323</v>
      </c>
      <c r="F341" s="7"/>
      <c r="G341" s="7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customFormat="false" ht="15.75" hidden="false" customHeight="false" outlineLevel="0" collapsed="false">
      <c r="A342" s="2"/>
      <c r="B342" s="7"/>
      <c r="C342" s="7"/>
      <c r="D342" s="7"/>
      <c r="E342" s="6" t="s">
        <v>324</v>
      </c>
      <c r="F342" s="7"/>
      <c r="G342" s="7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customFormat="false" ht="15.75" hidden="false" customHeight="false" outlineLevel="0" collapsed="false">
      <c r="A343" s="2"/>
      <c r="B343" s="7"/>
      <c r="C343" s="7"/>
      <c r="D343" s="7"/>
      <c r="E343" s="6" t="s">
        <v>325</v>
      </c>
      <c r="F343" s="7"/>
      <c r="G343" s="7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customFormat="false" ht="15.75" hidden="false" customHeight="false" outlineLevel="0" collapsed="false">
      <c r="A344" s="2"/>
      <c r="B344" s="7"/>
      <c r="C344" s="7"/>
      <c r="D344" s="6" t="s">
        <v>62</v>
      </c>
      <c r="E344" s="7"/>
      <c r="F344" s="7"/>
      <c r="G344" s="7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customFormat="false" ht="15.75" hidden="false" customHeight="false" outlineLevel="0" collapsed="false">
      <c r="A345" s="2"/>
      <c r="B345" s="7"/>
      <c r="C345" s="6" t="s">
        <v>326</v>
      </c>
      <c r="D345" s="7"/>
      <c r="E345" s="7"/>
      <c r="F345" s="7"/>
      <c r="G345" s="7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customFormat="false" ht="15.75" hidden="false" customHeight="false" outlineLevel="0" collapsed="false">
      <c r="A346" s="2"/>
      <c r="B346" s="7"/>
      <c r="C346" s="7"/>
      <c r="D346" s="6" t="s">
        <v>327</v>
      </c>
      <c r="E346" s="7"/>
      <c r="F346" s="7"/>
      <c r="G346" s="7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customFormat="false" ht="15.75" hidden="false" customHeight="false" outlineLevel="0" collapsed="false">
      <c r="A347" s="2"/>
      <c r="B347" s="7"/>
      <c r="C347" s="7"/>
      <c r="D347" s="6" t="s">
        <v>328</v>
      </c>
      <c r="E347" s="7"/>
      <c r="F347" s="7"/>
      <c r="G347" s="7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customFormat="false" ht="15.75" hidden="false" customHeight="false" outlineLevel="0" collapsed="false">
      <c r="A348" s="2"/>
      <c r="B348" s="7"/>
      <c r="C348" s="7"/>
      <c r="D348" s="7"/>
      <c r="E348" s="7"/>
      <c r="F348" s="7"/>
      <c r="G348" s="7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customFormat="false" ht="15.75" hidden="false" customHeight="false" outlineLevel="0" collapsed="false">
      <c r="A349" s="5" t="s">
        <v>329</v>
      </c>
      <c r="B349" s="6" t="s">
        <v>330</v>
      </c>
      <c r="C349" s="7"/>
      <c r="D349" s="7"/>
      <c r="E349" s="7"/>
      <c r="F349" s="7"/>
      <c r="G349" s="7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customFormat="false" ht="15.75" hidden="false" customHeight="false" outlineLevel="0" collapsed="false">
      <c r="A350" s="2"/>
      <c r="B350" s="7"/>
      <c r="C350" s="6" t="s">
        <v>331</v>
      </c>
      <c r="D350" s="7"/>
      <c r="E350" s="7"/>
      <c r="F350" s="7"/>
      <c r="G350" s="7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customFormat="false" ht="15.75" hidden="false" customHeight="false" outlineLevel="0" collapsed="false">
      <c r="A351" s="2"/>
      <c r="B351" s="7"/>
      <c r="C351" s="6" t="s">
        <v>332</v>
      </c>
      <c r="D351" s="7"/>
      <c r="E351" s="7"/>
      <c r="F351" s="7"/>
      <c r="G351" s="7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customFormat="false" ht="15.75" hidden="false" customHeight="false" outlineLevel="0" collapsed="false">
      <c r="A352" s="2"/>
      <c r="B352" s="7"/>
      <c r="C352" s="7"/>
      <c r="D352" s="6" t="s">
        <v>333</v>
      </c>
      <c r="E352" s="7"/>
      <c r="F352" s="7"/>
      <c r="G352" s="7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customFormat="false" ht="15.75" hidden="false" customHeight="false" outlineLevel="0" collapsed="false">
      <c r="A353" s="2"/>
      <c r="B353" s="7"/>
      <c r="C353" s="7"/>
      <c r="D353" s="6" t="s">
        <v>334</v>
      </c>
      <c r="E353" s="7"/>
      <c r="F353" s="7"/>
      <c r="G353" s="7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customFormat="false" ht="15.75" hidden="false" customHeight="false" outlineLevel="0" collapsed="false">
      <c r="A354" s="2"/>
      <c r="B354" s="7"/>
      <c r="C354" s="6" t="s">
        <v>335</v>
      </c>
      <c r="D354" s="7"/>
      <c r="E354" s="7"/>
      <c r="F354" s="7"/>
      <c r="G354" s="7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customFormat="false" ht="15.75" hidden="false" customHeight="false" outlineLevel="0" collapsed="false">
      <c r="A355" s="2"/>
      <c r="B355" s="7"/>
      <c r="C355" s="7"/>
      <c r="D355" s="6" t="s">
        <v>336</v>
      </c>
      <c r="E355" s="7"/>
      <c r="F355" s="7"/>
      <c r="G355" s="7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customFormat="false" ht="15.75" hidden="false" customHeight="false" outlineLevel="0" collapsed="false">
      <c r="A356" s="2"/>
      <c r="B356" s="7"/>
      <c r="C356" s="7"/>
      <c r="D356" s="6" t="s">
        <v>337</v>
      </c>
      <c r="E356" s="7"/>
      <c r="F356" s="7"/>
      <c r="G356" s="7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customFormat="false" ht="15.75" hidden="false" customHeight="false" outlineLevel="0" collapsed="false">
      <c r="A357" s="2"/>
      <c r="B357" s="7"/>
      <c r="C357" s="6" t="s">
        <v>338</v>
      </c>
      <c r="D357" s="7"/>
      <c r="E357" s="7"/>
      <c r="F357" s="7"/>
      <c r="G357" s="7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customFormat="false" ht="15.75" hidden="false" customHeight="false" outlineLevel="0" collapsed="false">
      <c r="A358" s="2"/>
      <c r="B358" s="7"/>
      <c r="C358" s="7"/>
      <c r="D358" s="6" t="s">
        <v>339</v>
      </c>
      <c r="E358" s="7"/>
      <c r="F358" s="7"/>
      <c r="G358" s="7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customFormat="false" ht="15.75" hidden="false" customHeight="false" outlineLevel="0" collapsed="false">
      <c r="A359" s="2"/>
      <c r="B359" s="7"/>
      <c r="C359" s="7"/>
      <c r="D359" s="7"/>
      <c r="E359" s="6" t="s">
        <v>340</v>
      </c>
      <c r="F359" s="7"/>
      <c r="G359" s="7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customFormat="false" ht="15.75" hidden="false" customHeight="false" outlineLevel="0" collapsed="false">
      <c r="A360" s="2"/>
      <c r="B360" s="7"/>
      <c r="C360" s="7"/>
      <c r="D360" s="7"/>
      <c r="E360" s="6" t="s">
        <v>341</v>
      </c>
      <c r="F360" s="7"/>
      <c r="G360" s="7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customFormat="false" ht="15.75" hidden="false" customHeight="false" outlineLevel="0" collapsed="false">
      <c r="A361" s="2"/>
      <c r="B361" s="7"/>
      <c r="C361" s="7"/>
      <c r="D361" s="6" t="s">
        <v>342</v>
      </c>
      <c r="E361" s="7"/>
      <c r="F361" s="7"/>
      <c r="G361" s="7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customFormat="false" ht="15.75" hidden="false" customHeight="false" outlineLevel="0" collapsed="false">
      <c r="A362" s="2"/>
      <c r="B362" s="7"/>
      <c r="C362" s="7"/>
      <c r="D362" s="6" t="s">
        <v>343</v>
      </c>
      <c r="E362" s="7"/>
      <c r="F362" s="7"/>
      <c r="G362" s="7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customFormat="false" ht="15.75" hidden="false" customHeight="false" outlineLevel="0" collapsed="false">
      <c r="A363" s="2"/>
      <c r="B363" s="7"/>
      <c r="C363" s="7"/>
      <c r="D363" s="7"/>
      <c r="E363" s="6" t="s">
        <v>344</v>
      </c>
      <c r="F363" s="7"/>
      <c r="G363" s="7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customFormat="false" ht="15.75" hidden="false" customHeight="false" outlineLevel="0" collapsed="false">
      <c r="A364" s="2"/>
      <c r="B364" s="7"/>
      <c r="C364" s="7"/>
      <c r="D364" s="7"/>
      <c r="E364" s="6" t="s">
        <v>345</v>
      </c>
      <c r="F364" s="7"/>
      <c r="G364" s="7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customFormat="false" ht="15.75" hidden="false" customHeight="false" outlineLevel="0" collapsed="false">
      <c r="A365" s="2"/>
      <c r="B365" s="7"/>
      <c r="C365" s="7"/>
      <c r="D365" s="7"/>
      <c r="E365" s="6" t="s">
        <v>346</v>
      </c>
      <c r="F365" s="7"/>
      <c r="G365" s="7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customFormat="false" ht="15.75" hidden="false" customHeight="false" outlineLevel="0" collapsed="false">
      <c r="A366" s="2"/>
      <c r="B366" s="7"/>
      <c r="C366" s="7"/>
      <c r="D366" s="7"/>
      <c r="E366" s="6" t="s">
        <v>347</v>
      </c>
      <c r="F366" s="7"/>
      <c r="G366" s="7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customFormat="false" ht="15.75" hidden="false" customHeight="false" outlineLevel="0" collapsed="false">
      <c r="A367" s="2"/>
      <c r="B367" s="7"/>
      <c r="C367" s="7"/>
      <c r="D367" s="6" t="s">
        <v>348</v>
      </c>
      <c r="E367" s="7"/>
      <c r="F367" s="7"/>
      <c r="G367" s="7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customFormat="false" ht="15.75" hidden="false" customHeight="false" outlineLevel="0" collapsed="false">
      <c r="A368" s="2"/>
      <c r="B368" s="7"/>
      <c r="C368" s="7"/>
      <c r="D368" s="7"/>
      <c r="E368" s="7"/>
      <c r="F368" s="7"/>
      <c r="G368" s="7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customFormat="false" ht="15.75" hidden="false" customHeight="false" outlineLevel="0" collapsed="false">
      <c r="A369" s="5" t="s">
        <v>349</v>
      </c>
      <c r="B369" s="6" t="s">
        <v>350</v>
      </c>
      <c r="C369" s="7"/>
      <c r="D369" s="7"/>
      <c r="E369" s="7"/>
      <c r="F369" s="7"/>
      <c r="G369" s="7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customFormat="false" ht="15.75" hidden="false" customHeight="false" outlineLevel="0" collapsed="false">
      <c r="A370" s="2"/>
      <c r="B370" s="7"/>
      <c r="C370" s="6" t="s">
        <v>351</v>
      </c>
      <c r="D370" s="7"/>
      <c r="E370" s="7"/>
      <c r="F370" s="7"/>
      <c r="G370" s="7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customFormat="false" ht="15.75" hidden="false" customHeight="false" outlineLevel="0" collapsed="false">
      <c r="A371" s="2"/>
      <c r="B371" s="7"/>
      <c r="C371" s="6" t="s">
        <v>352</v>
      </c>
      <c r="D371" s="7"/>
      <c r="E371" s="7"/>
      <c r="F371" s="7"/>
      <c r="G371" s="7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customFormat="false" ht="15.75" hidden="false" customHeight="false" outlineLevel="0" collapsed="false">
      <c r="A372" s="2"/>
      <c r="B372" s="7"/>
      <c r="C372" s="7"/>
      <c r="D372" s="6" t="s">
        <v>353</v>
      </c>
      <c r="E372" s="7"/>
      <c r="F372" s="7"/>
      <c r="G372" s="7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customFormat="false" ht="15.75" hidden="false" customHeight="false" outlineLevel="0" collapsed="false">
      <c r="A373" s="2"/>
      <c r="B373" s="7"/>
      <c r="C373" s="7"/>
      <c r="D373" s="6" t="s">
        <v>354</v>
      </c>
      <c r="E373" s="7"/>
      <c r="F373" s="7"/>
      <c r="G373" s="7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customFormat="false" ht="15.75" hidden="false" customHeight="false" outlineLevel="0" collapsed="false">
      <c r="A374" s="2"/>
      <c r="B374" s="7"/>
      <c r="C374" s="7"/>
      <c r="D374" s="6" t="s">
        <v>355</v>
      </c>
      <c r="E374" s="7"/>
      <c r="F374" s="7"/>
      <c r="G374" s="7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customFormat="false" ht="15.75" hidden="false" customHeight="false" outlineLevel="0" collapsed="false">
      <c r="A375" s="2"/>
      <c r="B375" s="7"/>
      <c r="C375" s="7"/>
      <c r="D375" s="7"/>
      <c r="E375" s="7"/>
      <c r="F375" s="7"/>
      <c r="G375" s="7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customFormat="false" ht="15.75" hidden="false" customHeight="false" outlineLevel="0" collapsed="false">
      <c r="A376" s="5" t="s">
        <v>356</v>
      </c>
      <c r="B376" s="6" t="s">
        <v>356</v>
      </c>
      <c r="C376" s="7"/>
      <c r="D376" s="7"/>
      <c r="E376" s="7"/>
      <c r="F376" s="7"/>
      <c r="G376" s="7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customFormat="false" ht="15.75" hidden="false" customHeight="false" outlineLevel="0" collapsed="false">
      <c r="A377" s="2"/>
      <c r="B377" s="7"/>
      <c r="C377" s="6" t="s">
        <v>357</v>
      </c>
      <c r="D377" s="7"/>
      <c r="E377" s="7"/>
      <c r="F377" s="7"/>
      <c r="G377" s="7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customFormat="false" ht="15.75" hidden="false" customHeight="false" outlineLevel="0" collapsed="false">
      <c r="A378" s="2"/>
      <c r="B378" s="7"/>
      <c r="C378" s="6" t="s">
        <v>358</v>
      </c>
      <c r="D378" s="7"/>
      <c r="E378" s="7"/>
      <c r="F378" s="7"/>
      <c r="G378" s="7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customFormat="false" ht="15.75" hidden="false" customHeight="false" outlineLevel="0" collapsed="false">
      <c r="A379" s="2"/>
      <c r="B379" s="7"/>
      <c r="C379" s="7"/>
      <c r="D379" s="6" t="s">
        <v>359</v>
      </c>
      <c r="E379" s="7"/>
      <c r="F379" s="7"/>
      <c r="G379" s="7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customFormat="false" ht="15.75" hidden="false" customHeight="false" outlineLevel="0" collapsed="false">
      <c r="A380" s="2"/>
      <c r="B380" s="7"/>
      <c r="C380" s="7"/>
      <c r="D380" s="7"/>
      <c r="E380" s="6" t="s">
        <v>360</v>
      </c>
      <c r="F380" s="7"/>
      <c r="G380" s="7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customFormat="false" ht="15.75" hidden="false" customHeight="false" outlineLevel="0" collapsed="false">
      <c r="A381" s="2"/>
      <c r="B381" s="7"/>
      <c r="C381" s="7"/>
      <c r="D381" s="7"/>
      <c r="E381" s="6" t="s">
        <v>361</v>
      </c>
      <c r="F381" s="7"/>
      <c r="G381" s="7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customFormat="false" ht="15.75" hidden="false" customHeight="false" outlineLevel="0" collapsed="false">
      <c r="A382" s="2"/>
      <c r="B382" s="7"/>
      <c r="C382" s="6" t="s">
        <v>362</v>
      </c>
      <c r="D382" s="7"/>
      <c r="E382" s="7"/>
      <c r="F382" s="7"/>
      <c r="G382" s="7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customFormat="false" ht="15.75" hidden="false" customHeight="false" outlineLevel="0" collapsed="false">
      <c r="A383" s="2"/>
      <c r="B383" s="7"/>
      <c r="C383" s="7"/>
      <c r="D383" s="6" t="s">
        <v>363</v>
      </c>
      <c r="E383" s="7"/>
      <c r="F383" s="7"/>
      <c r="G383" s="7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customFormat="false" ht="15.75" hidden="false" customHeight="false" outlineLevel="0" collapsed="false">
      <c r="A384" s="2"/>
      <c r="B384" s="7"/>
      <c r="C384" s="7"/>
      <c r="D384" s="7"/>
      <c r="E384" s="6" t="s">
        <v>364</v>
      </c>
      <c r="F384" s="7"/>
      <c r="G384" s="7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customFormat="false" ht="15.75" hidden="false" customHeight="false" outlineLevel="0" collapsed="false">
      <c r="A385" s="2"/>
      <c r="B385" s="7"/>
      <c r="C385" s="7"/>
      <c r="D385" s="6" t="s">
        <v>365</v>
      </c>
      <c r="E385" s="7"/>
      <c r="F385" s="7"/>
      <c r="G385" s="7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customFormat="false" ht="15.75" hidden="false" customHeight="false" outlineLevel="0" collapsed="false">
      <c r="A386" s="2"/>
      <c r="B386" s="7"/>
      <c r="C386" s="7"/>
      <c r="D386" s="7"/>
      <c r="E386" s="6" t="s">
        <v>366</v>
      </c>
      <c r="F386" s="7"/>
      <c r="G386" s="7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customFormat="false" ht="15.75" hidden="false" customHeight="false" outlineLevel="0" collapsed="false">
      <c r="A387" s="2"/>
      <c r="B387" s="7"/>
      <c r="C387" s="7"/>
      <c r="D387" s="7"/>
      <c r="E387" s="6" t="s">
        <v>367</v>
      </c>
      <c r="F387" s="7"/>
      <c r="G387" s="7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customFormat="false" ht="15.75" hidden="false" customHeight="false" outlineLevel="0" collapsed="false">
      <c r="A388" s="2"/>
      <c r="B388" s="7"/>
      <c r="C388" s="7"/>
      <c r="D388" s="7"/>
      <c r="E388" s="6" t="s">
        <v>368</v>
      </c>
      <c r="F388" s="7"/>
      <c r="G388" s="7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customFormat="false" ht="15.75" hidden="false" customHeight="false" outlineLevel="0" collapsed="false">
      <c r="A389" s="2"/>
      <c r="B389" s="7"/>
      <c r="C389" s="7"/>
      <c r="D389" s="7"/>
      <c r="E389" s="6" t="s">
        <v>369</v>
      </c>
      <c r="F389" s="7"/>
      <c r="G389" s="7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customFormat="false" ht="15.75" hidden="false" customHeight="false" outlineLevel="0" collapsed="false">
      <c r="A390" s="2"/>
      <c r="B390" s="7"/>
      <c r="C390" s="7"/>
      <c r="D390" s="6" t="s">
        <v>370</v>
      </c>
      <c r="E390" s="7"/>
      <c r="F390" s="7"/>
      <c r="G390" s="7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customFormat="false" ht="15.75" hidden="false" customHeight="false" outlineLevel="0" collapsed="false">
      <c r="A391" s="2"/>
      <c r="B391" s="7"/>
      <c r="C391" s="7"/>
      <c r="D391" s="7"/>
      <c r="E391" s="6" t="s">
        <v>371</v>
      </c>
      <c r="F391" s="7"/>
      <c r="G391" s="7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customFormat="false" ht="15.75" hidden="false" customHeight="false" outlineLevel="0" collapsed="false">
      <c r="A392" s="2"/>
      <c r="B392" s="7"/>
      <c r="C392" s="7"/>
      <c r="D392" s="7"/>
      <c r="E392" s="6" t="s">
        <v>372</v>
      </c>
      <c r="F392" s="7"/>
      <c r="G392" s="7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customFormat="false" ht="15.75" hidden="false" customHeight="false" outlineLevel="0" collapsed="false">
      <c r="A393" s="2"/>
      <c r="B393" s="7"/>
      <c r="C393" s="7"/>
      <c r="D393" s="6" t="s">
        <v>373</v>
      </c>
      <c r="E393" s="7"/>
      <c r="F393" s="7"/>
      <c r="G393" s="7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customFormat="false" ht="15.75" hidden="false" customHeight="false" outlineLevel="0" collapsed="false">
      <c r="A394" s="2"/>
      <c r="B394" s="7"/>
      <c r="C394" s="7"/>
      <c r="D394" s="7"/>
      <c r="E394" s="6" t="s">
        <v>374</v>
      </c>
      <c r="F394" s="7"/>
      <c r="G394" s="7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customFormat="false" ht="15.75" hidden="false" customHeight="false" outlineLevel="0" collapsed="false">
      <c r="A395" s="2"/>
      <c r="B395" s="7"/>
      <c r="C395" s="7"/>
      <c r="D395" s="7"/>
      <c r="E395" s="7"/>
      <c r="F395" s="6" t="s">
        <v>375</v>
      </c>
      <c r="G395" s="7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customFormat="false" ht="15.75" hidden="false" customHeight="false" outlineLevel="0" collapsed="false">
      <c r="A396" s="2"/>
      <c r="B396" s="7"/>
      <c r="C396" s="7"/>
      <c r="D396" s="7"/>
      <c r="E396" s="7"/>
      <c r="F396" s="6" t="s">
        <v>376</v>
      </c>
      <c r="G396" s="7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customFormat="false" ht="15.75" hidden="false" customHeight="false" outlineLevel="0" collapsed="false">
      <c r="A397" s="2"/>
      <c r="B397" s="7"/>
      <c r="C397" s="7"/>
      <c r="D397" s="7"/>
      <c r="E397" s="6" t="s">
        <v>377</v>
      </c>
      <c r="F397" s="7"/>
      <c r="G397" s="7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customFormat="false" ht="15.75" hidden="false" customHeight="false" outlineLevel="0" collapsed="false">
      <c r="A398" s="2"/>
      <c r="B398" s="7"/>
      <c r="C398" s="7"/>
      <c r="D398" s="6" t="s">
        <v>378</v>
      </c>
      <c r="E398" s="7"/>
      <c r="F398" s="7"/>
      <c r="G398" s="7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customFormat="false" ht="15.75" hidden="false" customHeight="false" outlineLevel="0" collapsed="false">
      <c r="A399" s="2"/>
      <c r="B399" s="7"/>
      <c r="C399" s="7"/>
      <c r="D399" s="7"/>
      <c r="E399" s="6" t="s">
        <v>379</v>
      </c>
      <c r="F399" s="7"/>
      <c r="G399" s="7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customFormat="false" ht="15.75" hidden="false" customHeight="false" outlineLevel="0" collapsed="false">
      <c r="A400" s="2"/>
      <c r="B400" s="7"/>
      <c r="C400" s="7"/>
      <c r="D400" s="7"/>
      <c r="E400" s="6" t="s">
        <v>380</v>
      </c>
      <c r="F400" s="7"/>
      <c r="G400" s="7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customFormat="false" ht="15.75" hidden="false" customHeight="false" outlineLevel="0" collapsed="false">
      <c r="A401" s="2"/>
      <c r="B401" s="7"/>
      <c r="C401" s="7"/>
      <c r="D401" s="7"/>
      <c r="E401" s="6" t="s">
        <v>381</v>
      </c>
      <c r="F401" s="7"/>
      <c r="G401" s="7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customFormat="false" ht="15.75" hidden="false" customHeight="false" outlineLevel="0" collapsed="false">
      <c r="A402" s="2"/>
      <c r="B402" s="7"/>
      <c r="C402" s="7"/>
      <c r="D402" s="7"/>
      <c r="E402" s="6" t="s">
        <v>382</v>
      </c>
      <c r="F402" s="7"/>
      <c r="G402" s="7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customFormat="false" ht="15.75" hidden="false" customHeight="false" outlineLevel="0" collapsed="false">
      <c r="A403" s="2"/>
      <c r="B403" s="7"/>
      <c r="C403" s="7"/>
      <c r="D403" s="7"/>
      <c r="E403" s="7"/>
      <c r="F403" s="7"/>
      <c r="G403" s="7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customFormat="false" ht="15.75" hidden="false" customHeight="false" outlineLevel="0" collapsed="false">
      <c r="A404" s="5" t="s">
        <v>383</v>
      </c>
      <c r="B404" s="6" t="s">
        <v>384</v>
      </c>
      <c r="C404" s="7"/>
      <c r="D404" s="7"/>
      <c r="E404" s="7"/>
      <c r="F404" s="7"/>
      <c r="G404" s="7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customFormat="false" ht="15.75" hidden="false" customHeight="false" outlineLevel="0" collapsed="false">
      <c r="A405" s="2"/>
      <c r="B405" s="7"/>
      <c r="C405" s="6" t="s">
        <v>385</v>
      </c>
      <c r="D405" s="7"/>
      <c r="E405" s="7"/>
      <c r="F405" s="7"/>
      <c r="G405" s="7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customFormat="false" ht="15.75" hidden="false" customHeight="false" outlineLevel="0" collapsed="false">
      <c r="A406" s="2"/>
      <c r="B406" s="7"/>
      <c r="C406" s="6" t="s">
        <v>386</v>
      </c>
      <c r="D406" s="7"/>
      <c r="E406" s="7"/>
      <c r="F406" s="7"/>
      <c r="G406" s="7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customFormat="false" ht="15.75" hidden="false" customHeight="false" outlineLevel="0" collapsed="false">
      <c r="A407" s="2"/>
      <c r="B407" s="7"/>
      <c r="C407" s="7"/>
      <c r="D407" s="6" t="s">
        <v>387</v>
      </c>
      <c r="E407" s="7"/>
      <c r="F407" s="7"/>
      <c r="G407" s="7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customFormat="false" ht="15.75" hidden="false" customHeight="false" outlineLevel="0" collapsed="false">
      <c r="A408" s="2"/>
      <c r="B408" s="7"/>
      <c r="C408" s="7"/>
      <c r="D408" s="6" t="s">
        <v>334</v>
      </c>
      <c r="E408" s="7"/>
      <c r="F408" s="7"/>
      <c r="G408" s="7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</sheetData>
  <mergeCells count="1">
    <mergeCell ref="A1:Z1"/>
  </mergeCells>
  <hyperlinks>
    <hyperlink ref="B4" r:id="rId1" display="Release notes"/>
    <hyperlink ref="C5" r:id="rId2" display="Highlights of what is new and what has changed with this OpenShift GitOps release"/>
    <hyperlink ref="C6" r:id="rId3" display="Chapter 1. Red Hat OpenShift GitOps release notes"/>
    <hyperlink ref="D7" r:id="rId4" display="1.1. Compatibility and support matrix"/>
    <hyperlink ref="E8" r:id="rId5" display="1.1.1. Technology Preview features"/>
    <hyperlink ref="D9" r:id="rId6" display="1.2. Release notes for Red Hat OpenShift GitOps 1.20.3"/>
    <hyperlink ref="E10" r:id="rId7" display="1.2.1. Errata updates"/>
    <hyperlink ref="D11" r:id="rId8" display="1.3. Release notes for Red Hat OpenShift GitOps 1.20.2"/>
    <hyperlink ref="E12" r:id="rId9" display="1.3.1. Errata updates"/>
    <hyperlink ref="E13" r:id="rId10" display="1.3.2. New features"/>
    <hyperlink ref="E14" r:id="rId11" display="1.3.3. Fixed issues"/>
    <hyperlink ref="D15" r:id="rId12" display="1.4. Release notes for Red Hat OpenShift GitOps 1.20.1"/>
    <hyperlink ref="E16" r:id="rId13" display="1.4.1. Errata updates"/>
    <hyperlink ref="E17" r:id="rId14" display="1.4.2. Fixed issues"/>
    <hyperlink ref="D18" r:id="rId15" display="1.5. Release notes for Red Hat OpenShift GitOps 1.20.0"/>
    <hyperlink ref="E19" r:id="rId16" display="1.5.1. Errata updates"/>
    <hyperlink ref="E20" r:id="rId17" display="1.5.2. New features"/>
    <hyperlink ref="E21" r:id="rId18" display="1.5.3. Fixed issues"/>
    <hyperlink ref="D22" r:id="rId19" display="1.6. Additional resources"/>
    <hyperlink ref="B24" r:id="rId20" display="Understanding OpenShift GitOps"/>
    <hyperlink ref="C25" r:id="rId21" display="Introduction to OpenShift GitOps"/>
    <hyperlink ref="C26" r:id="rId22" display="Chapter 1. What is GitOps?"/>
    <hyperlink ref="C27" r:id="rId23" display="Chapter 2. About Red Hat OpenShift GitOps"/>
    <hyperlink ref="D28" r:id="rId24" display="2.1. Key features"/>
    <hyperlink ref="D29" r:id="rId25" display="2.2. Glossary of common terms for OpenShift GitOps"/>
    <hyperlink ref="D30" r:id="rId26" display="2.3. Additional resources"/>
    <hyperlink ref="C31" r:id="rId27" display="Chapter 3. Gathering diagnostic information for support"/>
    <hyperlink ref="D32" r:id="rId28" display="3.1. About the must-gather tool"/>
    <hyperlink ref="D33" r:id="rId29" display="3.2. Collecting debugging data for Red Hat OpenShift GitOps"/>
    <hyperlink ref="D34" r:id="rId30" display="3.3. Additional resources"/>
    <hyperlink ref="B36" r:id="rId31" display="Managing cluster configuration"/>
    <hyperlink ref="C37" r:id="rId32" display="Managing OpenShift Container Platform cluster configuration"/>
    <hyperlink ref="C38" r:id="rId33" display="Chapter 1. Managing OpenShift Container Platform cluster configuration"/>
    <hyperlink ref="D39" r:id="rId34" display="1.1. Installing Red Hat OpenShift GitOps Operator using CLI"/>
    <hyperlink ref="D40" r:id="rId35" display="1.2. Analyzing the default Argo CD instance details"/>
    <hyperlink ref="D41" r:id="rId36" display="1.3. Access the default Argo CD instance"/>
    <hyperlink ref="D42" r:id="rId37" display="1.4. Configuring the default Argo CD instance"/>
    <hyperlink ref="E43" r:id="rId38" display="1.4.1. Configuring RBAC"/>
    <hyperlink ref="E44" r:id="rId39" display="1.4.2. Configuring permissions"/>
    <hyperlink ref="D45" r:id="rId40" display="1.5. Additional resources"/>
    <hyperlink ref="B47" r:id="rId41" display="Installing GitOps"/>
    <hyperlink ref="C48" r:id="rId42" display="Installing the OpenShift GitOps Operator, logging in to the Argo CD instance, and installing the GitOps CLI"/>
    <hyperlink ref="C49" r:id="rId43" display="Chapter 1. Preparing to install Red Hat OpenShift GitOps"/>
    <hyperlink ref="D50" r:id="rId44" display="1.1. Sizing requirements for GitOps"/>
    <hyperlink ref="E51" r:id="rId45" display="1.1.1. Sizing requirements for Argo CD redis"/>
    <hyperlink ref="C52" r:id="rId46" display="Chapter 2. Installing Red Hat OpenShift GitOps"/>
    <hyperlink ref="D53" r:id="rId47" display="2.1. Prerequisites"/>
    <hyperlink ref="D54" r:id="rId48" display="2.2. Installing Red Hat OpenShift GitOps Operator in web console"/>
    <hyperlink ref="D55" r:id="rId49" display="2.3. Installing Red Hat OpenShift GitOps Operator using CLI"/>
    <hyperlink ref="D56" r:id="rId50" display="2.4. Logging in to the Argo CD instance by using the Argo CD admin account"/>
    <hyperlink ref="D57" r:id="rId51" display="2.5. Additional resources"/>
    <hyperlink ref="C58" r:id="rId52" display="Chapter 3. Installing the GitOps CLI"/>
    <hyperlink ref="D59" r:id="rId53" display="3.1. Installing the Red Hat OpenShift GitOps CLI on Linux"/>
    <hyperlink ref="D60" r:id="rId54" display="3.2. Installing the Red Hat OpenShift GitOps CLI on Linux using an RPM"/>
    <hyperlink ref="D61" r:id="rId55" display="3.3. Installing the Red Hat OpenShift GitOps CLI on Windows"/>
    <hyperlink ref="D62" r:id="rId56" display="3.4. Installing the Red Hat OpenShift GitOps CLI on macOS"/>
    <hyperlink ref="D63" r:id="rId57" display="3.5. Additional resources"/>
    <hyperlink ref="B65" r:id="rId58" display="Removing GitOps"/>
    <hyperlink ref="C66" r:id="rId59" display="Removing OpenShift GitOps Operator from your cluster"/>
    <hyperlink ref="C67" r:id="rId60" display="Chapter 1. Uninstalling Red Hat OpenShift GitOps"/>
    <hyperlink ref="D68" r:id="rId61" display="1.1. Deleting the Argo CD instances"/>
    <hyperlink ref="D69" r:id="rId62" display="1.2. Uninstalling the GitOps Operator"/>
    <hyperlink ref="B71" r:id="rId63" display="Argo CD instance"/>
    <hyperlink ref="C72" r:id="rId64" display="Installing and deploying Argo CD instances, enabling notifications with an Argo CD instance, and configuring the NotificationsConfiguration CR"/>
    <hyperlink ref="C73" r:id="rId65" display="Chapter 1. Setting up an Argo CD instance"/>
    <hyperlink ref="D74" r:id="rId66" display="1.1. Installing a user-defined Argo CD instance"/>
    <hyperlink ref="D75" r:id="rId67" display="1.2. Configuring common cluster roles by specifying user-defined cluster roles for namespace-scoped instances"/>
    <hyperlink ref="D76" r:id="rId68" display="1.3. Enabling replicas for Argo CD server and repo server"/>
    <hyperlink ref="D77" r:id="rId69" display="1.4. Deploying resources to a different namespace"/>
    <hyperlink ref="D78" r:id="rId70" display="1.5. Customizing the Argo CD console link"/>
    <hyperlink ref="D79" r:id="rId71" display="1.6. Configuring ImagePullPolicy"/>
    <hyperlink ref="C80" r:id="rId72" display="Chapter 2. Argo CD custom resource and component properties"/>
    <hyperlink ref="D81" r:id="rId73" display="2.1. Argo CD custom resource properties"/>
    <hyperlink ref="D82" r:id="rId74" display="2.2. Repo server properties"/>
    <hyperlink ref="E83" r:id="rId75" display="2.2.1. Configure TLS trust for the repo server"/>
    <hyperlink ref="D84" r:id="rId76" display="2.3. Enabling notifications with an Argo CD instance"/>
    <hyperlink ref="D85" r:id="rId77" display="2.4. Enabling Config Management Plugins in an Argo CD CR"/>
    <hyperlink ref="D86" r:id="rId78" display="2.5. NotificationsConfiguration custom resource properties"/>
    <hyperlink ref="E87" r:id="rId79" display="2.5.1. Configuring the NotificationsConfiguration CR by using the web console"/>
    <hyperlink ref="E88" r:id="rId80" display="2.5.2. Configuring the NotificationsConfiguration CR by using the CLI"/>
    <hyperlink ref="D89" r:id="rId81" display="2.6. Configuring notifications in any Namespace"/>
    <hyperlink ref="E90" r:id="rId82" display="2.6.1. Understanding configuration notifications behavior across namespaces"/>
    <hyperlink ref="D91" r:id="rId83" display="2.7. Enabling annotation-based resource tracking in Argo CD"/>
    <hyperlink ref="E92" r:id="rId84" display="2.7.1. Configuring annotation-based tracking in multiple Argo CD instances"/>
    <hyperlink ref="D93" r:id="rId85" display="2.8. Additional resources"/>
    <hyperlink ref="B95" r:id="rId86" display="Access control and user management"/>
    <hyperlink ref="C96" r:id="rId87" display="Configuring user authentication and access controls for users and namespaces"/>
    <hyperlink ref="C97" r:id="rId88" display="Chapter 1. Configuring Argo CD RBAC"/>
    <hyperlink ref="D98" r:id="rId89" display="1.1. Configuring user level access"/>
    <hyperlink ref="C99" r:id="rId90" display="Chapter 2. Configuring SSO for Argo CD using Dex"/>
    <hyperlink ref="D100" r:id="rId91" display="2.1. Configuration to enable the Dex OpenShift OAuth Connector"/>
    <hyperlink ref="E101" r:id="rId92" display="2.1.1. Mapping users to specific roles"/>
    <hyperlink ref="D102" r:id="rId93" display="2.2. Disabling Dex by replacing .spec.sso"/>
    <hyperlink ref="C103" r:id="rId94" display="Chapter 3. Configuring SSO for Argo CD using external OIDC providers"/>
    <hyperlink ref="D104" r:id="rId95" display="3.1. Understanding OIDC integration approaches for Argo CD"/>
    <hyperlink ref="D105" r:id="rId96" display="3.2. Prerequisites"/>
    <hyperlink ref="D106" r:id="rId97" display="3.3. Configuring direct OIDC integration for Argo CD"/>
    <hyperlink ref="D107" r:id="rId98" display="3.4. Verifying OIDC login for Argo CD"/>
    <hyperlink ref="C108" r:id="rId99" display="Chapter 4. Managing local users in Argo CD"/>
    <hyperlink ref="D109" r:id="rId100" display="4.1. About local user management in Argo CD"/>
    <hyperlink ref="D110" r:id="rId101" display="4.2. Local user configuration in Argo CD"/>
    <hyperlink ref="D111" r:id="rId102" display="4.3. Example local user configuration in Argo CD"/>
    <hyperlink ref="D112" r:id="rId103" display="4.4. Token storage and access"/>
    <hyperlink ref="D113" r:id="rId104" display="4.5. Token lifecycle management"/>
    <hyperlink ref="D114" r:id="rId105" display="4.6. User lifecycle management"/>
    <hyperlink ref="D115" r:id="rId106" display="4.7. Integration with legacy configuration"/>
    <hyperlink ref="D116" r:id="rId107" display="4.8. Creating local users in Argo CD"/>
    <hyperlink ref="B118" r:id="rId108" display="Managing resource use"/>
    <hyperlink ref="C119" r:id="rId109" display="Configuring resource requests and limits for Argo CD workloads"/>
    <hyperlink ref="C120" r:id="rId110" display="Chapter 1. Configuring resource quota or requests"/>
    <hyperlink ref="D121" r:id="rId111" display="1.1. Configuring workloads with resource requests and limits"/>
    <hyperlink ref="D122" r:id="rId112" display="1.2. Patching Argo CD instance to update the resource requirements"/>
    <hyperlink ref="D123" r:id="rId113" display="1.3. Removing resource requests"/>
    <hyperlink ref="C124" r:id="rId114" display="Chapter 2. Configure resource requests and limits for GitOps plugin components"/>
    <hyperlink ref="D125" r:id="rId115" display="2.1. Enabling the GitOpsService custom resource"/>
    <hyperlink ref="D126" r:id="rId116" display="2.2. Behavior of resource configuration"/>
    <hyperlink ref="B128" r:id="rId117" display="Argo CD applications"/>
    <hyperlink ref="C129" r:id="rId118" display="Creating and deploying applications on the OpenShift cluster by using the Argo CD dashboard, oc tool, or GitOps CLI"/>
    <hyperlink ref="C130" r:id="rId119" display="Chapter 1. Deploying a Spring Boot application with Argo CD"/>
    <hyperlink ref="D131" r:id="rId120" display="1.1. Creating an application by using the Argo CD dashboard"/>
    <hyperlink ref="D132" r:id="rId121" display="1.2. Creating an application by using the oc tool"/>
    <hyperlink ref="D133" r:id="rId122" display="1.3. Verifying Argo CD self-healing behavior"/>
    <hyperlink ref="C134" r:id="rId123" display="Chapter 2. Creating an application by using the GitOps CLI"/>
    <hyperlink ref="D135" r:id="rId124" display="2.1. Creating an application in the default mode by using the GitOps CLI"/>
    <hyperlink ref="D136" r:id="rId125" display="2.2. Creating an application in core mode by using the GitOps CLI"/>
    <hyperlink ref="D137" r:id="rId126" display="2.3. Additional resources"/>
    <hyperlink ref="C138" r:id="rId127" display="Chapter 3. Managing the application resources in non-control plane namespaces"/>
    <hyperlink ref="D139" r:id="rId128" display="3.1. Prerequisites"/>
    <hyperlink ref="D140" r:id="rId129" display="3.2. Configuring the Argo CD CR of your user-defined cluster-scoped Argo CD instance with the target namespaces"/>
    <hyperlink ref="D141" r:id="rId130" display="3.3. Creating and configuring a user-defined AppProject instance with the target namespaces"/>
    <hyperlink ref="D142" r:id="rId131" display="3.4. Creating and configuring the Application CR to reference the target namespace and user-defined AppProject instance"/>
    <hyperlink ref="D143" r:id="rId132" display="3.5. Additional resources"/>
    <hyperlink ref="C144" r:id="rId133" display="Chapter 4. Managing application links with the managed-by-url annotation"/>
    <hyperlink ref="D145" r:id="rId134" display="4.1. Overview of the managed-by-url annotation"/>
    <hyperlink ref="D146" r:id="rId135" display="4.2. Configuring the managed-by-url annotation"/>
    <hyperlink ref="D147" r:id="rId136" display="4.3. Managed-by-url annotation reference"/>
    <hyperlink ref="D148" r:id="rId137" display="4.4. Troubleshooting the managed-by-url annotation"/>
    <hyperlink ref="D149" r:id="rId138" display="4.5. Additional resources"/>
    <hyperlink ref="B151" r:id="rId139" display="Argo CD application sets"/>
    <hyperlink ref="C152" r:id="rId140" display="Managing the application set resources in non-control plane namespaces"/>
    <hyperlink ref="C153" r:id="rId141" display="Chapter 1. Managing the application set resources in non-control plane namespaces"/>
    <hyperlink ref="D154" r:id="rId142" display="1.1. Prerequisites"/>
    <hyperlink ref="D155" r:id="rId143" display="1.2. Enabling the application set resources in non-control plane namespaces"/>
    <hyperlink ref="D156" r:id="rId144" display="1.3. About configuring ApplicationSet namespaces using names and patterns"/>
    <hyperlink ref="E157" r:id="rId145" display="1.3.1. Enable ApplicationSet in a specific namespace"/>
    <hyperlink ref="E158" r:id="rId146" display="1.3.2. Define glob-style in wildcard patterns"/>
    <hyperlink ref="E159" r:id="rId147" display="1.3.3. Define regular expressions in patterns"/>
    <hyperlink ref="D160" r:id="rId148" display="1.4. Allowing Source Code Manager Providers"/>
    <hyperlink ref="D161" r:id="rId149" display="1.5. Additional resources"/>
    <hyperlink ref="C162" r:id="rId150" display="Chapter 2. Using Progressive Sync in OpenShift GitOps"/>
    <hyperlink ref="D163" r:id="rId151" display="2.1. Overview of enabling Progressive Sync"/>
    <hyperlink ref="D164" r:id="rId152" display="2.2. Prerequisites"/>
    <hyperlink ref="D165" r:id="rId153" display="2.3. Enabling Progressive Sync"/>
    <hyperlink ref="E166" r:id="rId154" display="2.3.1. Adding the extraCommandArgs argument to the Argo CD CR"/>
    <hyperlink ref="E167" r:id="rId155" display="2.3.2. Setting the env environment variable in the Argo CD CR"/>
    <hyperlink ref="D168" r:id="rId156" display="2.4. Understanding ApplicationSet strategies"/>
    <hyperlink ref="D169" r:id="rId157" display="2.5. Understanding creation strategies"/>
    <hyperlink ref="E170" r:id="rId158" display="2.5.1. Configuring AllAtOnce creation strategy"/>
    <hyperlink ref="E171" r:id="rId159" display="2.5.2. Example: AllAtOnce creation strategy for simultaneous deployment"/>
    <hyperlink ref="E172" r:id="rId160" display="2.5.3. Configuring RollingSync strategy"/>
    <hyperlink ref="E173" r:id="rId161" display="2.5.4. Example: Progressive sync with environment labels"/>
    <hyperlink ref="D174" r:id="rId162" display="2.6. Understanding deletion strategies"/>
    <hyperlink ref="E175" r:id="rId163" display="2.6.1. Configuring AllAtOnce deletion strategy"/>
    <hyperlink ref="E176" r:id="rId164" display="2.6.2. Example: AllAtOnce deletion strategy for multi-cluster deployments"/>
    <hyperlink ref="E177" r:id="rId165" display="2.6.3. Configuring ApplicationSet reverse deletion order"/>
    <hyperlink ref="E178" r:id="rId166" display="2.6.4. Example: Reverse deletion order with dependent services"/>
    <hyperlink ref="D179" r:id="rId167" display="2.7. Troubleshooting Progressive Sync"/>
    <hyperlink ref="E180" r:id="rId168" display="2.7.1. Troubleshooting when Progressive Sync section does not appear"/>
    <hyperlink ref="E181" r:id="rId169" display="2.7.2. Troubleshooting when application shows Unknown state"/>
    <hyperlink ref="D182" r:id="rId170" display="2.8. Additional resources"/>
    <hyperlink ref="B184" r:id="rId171" display="Multitenancy"/>
    <hyperlink ref="C185" r:id="rId172" display="Understanding multitenancy support in GitOps"/>
    <hyperlink ref="C186" r:id="rId173" display="Chapter 1. Multitenancy support in GitOps"/>
    <hyperlink ref="D187" r:id="rId174" display="1.1. Argo CD instance scopes"/>
    <hyperlink ref="E188" r:id="rId175" display="1.1.1. Namespace-scoped instance (Application delivery instance)"/>
    <hyperlink ref="E189" r:id="rId176" display="1.1.2. Cluster-scoped instance"/>
    <hyperlink ref="E190" r:id="rId177" display="1.1.3. Default cluster-scoped instance"/>
    <hyperlink ref="D191" r:id="rId178" display="1.2. Important considerations when adopting the multitenancy model"/>
    <hyperlink ref="E192" r:id="rId179" display="1.2.1. Argo CD role-based access control (RBAC)"/>
    <hyperlink ref="E193" r:id="rId180" display="1.2.2. Argo CD projects"/>
    <hyperlink ref="D194" r:id="rId181" display="1.3. Enable tenant namespace management with the NamespaceManagement CR"/>
    <hyperlink ref="E195" r:id="rId182" display="1.3.1. Configuring namespace management for Argo CD tenants"/>
    <hyperlink ref="D196" r:id="rId183" display="1.4. Additional resources"/>
    <hyperlink ref="B198" r:id="rId184" display="Declarative cluster configuration"/>
    <hyperlink ref="C199" r:id="rId185" display="Configuring an OpenShift cluster with cluster configurations by using OpenShift GitOps and creating and synchronizing applications in the default and code mode by using the GitOps CLI"/>
    <hyperlink ref="C200" r:id="rId186" display="Chapter 1. Configuring an OpenShift cluster by deploying an application with cluster configurations"/>
    <hyperlink ref="D201" r:id="rId187" display="1.1. Prerequisites"/>
    <hyperlink ref="D202" r:id="rId188" display="1.2. Using an Argo CD instance to manage cluster-scoped resources"/>
    <hyperlink ref="D203" r:id="rId189" display="1.3. Default permissions of an Argo CD instance"/>
    <hyperlink ref="D204" r:id="rId190" display="1.4. Running the Argo CD instance at the cluster-level"/>
    <hyperlink ref="D205" r:id="rId191" display="1.5. Creating an application by using the Argo CD dashboard"/>
    <hyperlink ref="D206" r:id="rId192" display="1.6. Creating an application by using the oc tool"/>
    <hyperlink ref="D207" r:id="rId193" display="1.7. Creating an application in the default mode by using the GitOps CLI"/>
    <hyperlink ref="D208" r:id="rId194" display="1.8. Creating an application in core mode by using the GitOps CLI"/>
    <hyperlink ref="D209" r:id="rId195" display="1.9. Synchronizing your application with your Git repository"/>
    <hyperlink ref="D210" r:id="rId196" display="1.10. Synchronizing an application in the default mode by using the GitOps CLI"/>
    <hyperlink ref="D211" r:id="rId197" display="1.11. Synchronizing an application in core mode by using the GitOps CLI"/>
    <hyperlink ref="D212" r:id="rId198" display="1.12. In-built permissions for cluster configuration"/>
    <hyperlink ref="D213" r:id="rId199" display="1.13. Adding permissions for cluster configuration"/>
    <hyperlink ref="D214" r:id="rId200" display="1.14. Installing OLM Operators using Red Hat OpenShift GitOps"/>
    <hyperlink ref="E215" r:id="rId201" display="1.14.1. Installing cluster-scoped Operators"/>
    <hyperlink ref="E216" r:id="rId202" display="1.14.2. Installing namepace-scoped Operators"/>
    <hyperlink ref="D217" r:id="rId203" display="1.15. Configuring respectRBAC using Red Hat OpenShift GitOps"/>
    <hyperlink ref="E218" r:id="rId204" display="1.15.1. Configuring respectRBAC using the CLI"/>
    <hyperlink ref="E219" r:id="rId205" display="1.15.2. Configuring respectRBAC by using the web console"/>
    <hyperlink ref="D220" r:id="rId206" display="1.16. Additional resources"/>
    <hyperlink ref="C221" r:id="rId207" display="Chapter 2. Customizing permissions by creating user-defined cluster roles for cluster-scoped instances"/>
    <hyperlink ref="D222" r:id="rId208" display="2.1. Prerequisites"/>
    <hyperlink ref="D223" r:id="rId209" display="2.2. Disabling the creation of the default cluster roles for the cluster-scoped instance"/>
    <hyperlink ref="D224" r:id="rId210" display="2.3. Customizing permissions for cluster-scoped instances"/>
    <hyperlink ref="D225" r:id="rId211" display="2.4. Additional resources"/>
    <hyperlink ref="C226" r:id="rId212" display="Chapter 3. Customizing permissions by creating aggregated cluster roles"/>
    <hyperlink ref="D227" r:id="rId213" display="3.1. Aggregated cluster roles"/>
    <hyperlink ref="D228" r:id="rId214" display="3.2. Prerequisites"/>
    <hyperlink ref="D229" r:id="rId215" display="3.3. Creating aggregated cluster roles"/>
    <hyperlink ref="E230" r:id="rId216" display="3.3.1. Enable the creation of aggregated cluster roles"/>
    <hyperlink ref="E231" r:id="rId217" display="3.3.2. Create user-defined cluster roles and configure user-defined permissions"/>
    <hyperlink ref="D232" r:id="rId218" display="3.4. Enabling the creation of aggregated cluster roles"/>
    <hyperlink ref="D233" r:id="rId219" display="3.5. Creating user-defined cluster roles and configuring user-defined permissions for Application Controller"/>
    <hyperlink ref="D234" r:id="rId220" display="3.6. Additional resources"/>
    <hyperlink ref="C235" r:id="rId221" display="Chapter 4. Sharding clusters across Argo CD Application Controller replicas"/>
    <hyperlink ref="D236" r:id="rId222" display="4.1. Enabling the round-robin sharding algorithm"/>
    <hyperlink ref="E237" r:id="rId223" display="4.1.1. Enabling the round-robin sharding algorithm in the web console"/>
    <hyperlink ref="E238" r:id="rId224" display="4.1.2. Enabling the round-robin sharding algorithm by using the CLI"/>
    <hyperlink ref="D239" r:id="rId225" display="4.2. Enabling dynamic scaling of shards of the Argo CD Application Controller"/>
    <hyperlink ref="E240" r:id="rId226" display="4.2.1. Enabling dynamic scaling of shards in the web console"/>
    <hyperlink ref="E241" r:id="rId227" display="4.2.2. Enabling dynamic scaling of shards by using the CLI"/>
    <hyperlink ref="B243" r:id="rId228" display="Argo CD Agent architecture"/>
    <hyperlink ref="C244" r:id="rId229" display="Describes the architecture and terminology used in the Argo CD Agent, detailing how agent-based GitOps communication and synchronization works between the control plane and workload clusters."/>
    <hyperlink ref="C245" r:id="rId230" display="Chapter 1. Argo CD Agent architecture overview"/>
    <hyperlink ref="D246" r:id="rId231" display="1.1. Introduction to the Argo CD Agent architecture"/>
    <hyperlink ref="D247" r:id="rId232" display="1.2. Architecture and Terminology"/>
    <hyperlink ref="D248" r:id="rId233" display="1.3. Comparing Argo CD Agent with traditional Argo CD architecture"/>
    <hyperlink ref="D249" r:id="rId234" display="1.4. Synchronization mechanism between the control plane and workload clusters"/>
    <hyperlink ref="D250" r:id="rId235" display="1.5. Argo CD Agent modes"/>
    <hyperlink ref="E251" r:id="rId236" display="1.5.1. Argo CD Agent Managed mode"/>
    <hyperlink ref="E252" r:id="rId237" display="1.5.2. Argo CD Agent Autonomous mode"/>
    <hyperlink ref="D253" r:id="rId238" display="1.6. Security and Authentication"/>
    <hyperlink ref="D254" r:id="rId239" display="1.7. Application Management Across Namespaces"/>
    <hyperlink ref="D255" r:id="rId240" display="1.8. Known Limitations"/>
    <hyperlink ref="D256" r:id="rId241" display="1.9. Additional resources"/>
    <hyperlink ref="B258" r:id="rId242" display="Argo CD Agent installation"/>
    <hyperlink ref="C259" r:id="rId243" display="Installing and deploying the Argo CD Agent, enabling the Argo CD Agent in different modes by using a helm chart."/>
    <hyperlink ref="C260" r:id="rId244" display="Chapter 1. Installing Argo CD Agent"/>
    <hyperlink ref="D261" r:id="rId245" display="1.1. Prerequisites"/>
    <hyperlink ref="D262" r:id="rId246" display="1.2. Argo CD Agent Terminologies"/>
    <hyperlink ref="D263" r:id="rId247" display="1.3. Installing the Principal component"/>
    <hyperlink ref="D264" r:id="rId248" display="1.4. Setting up a spoke cluster environment"/>
    <hyperlink ref="D265" r:id="rId249" display="1.5. Installing the Argo CD Agent by using a Helm chart"/>
    <hyperlink ref="E266" r:id="rId250" display="1.5.1. Deploying an Argo CD instance on the Agent cluster"/>
    <hyperlink ref="E267" r:id="rId251" display="1.5.2. Installing the Argo CD Agent in managed mode by using a Helm chart"/>
    <hyperlink ref="E268" r:id="rId252" display="1.5.3. Installing the Argo CD Agent in autonomous mode by using a Helm chart"/>
    <hyperlink ref="D269" r:id="rId253" display="1.6. Installing the Argo CD Agent by using an Argo CD custom resource"/>
    <hyperlink ref="D270" r:id="rId254" display="1.7. Verifying the Argo CD Agent installation in Managed Mode or Autonomous Mode"/>
    <hyperlink ref="D271" r:id="rId255" display="1.8. Deploying Argo CD applications"/>
    <hyperlink ref="E272" r:id="rId256" display="1.8.1. Deploying an Argo CD application in managed mode"/>
    <hyperlink ref="E273" r:id="rId257" display="1.8.2. Deploying an Argo CD application in autonomous mode"/>
    <hyperlink ref="D274" r:id="rId258" display="1.9. Troubleshooting Principal-Agent communication and deployment issues"/>
    <hyperlink ref="D275" r:id="rId259" display="1.10. Additional resources"/>
    <hyperlink ref="B277" r:id="rId260" display="Argo Rollouts"/>
    <hyperlink ref="C278" r:id="rId261" display="Using Argo Rollouts for progressive delivery"/>
    <hyperlink ref="C279" r:id="rId262" display="Chapter 1. Argo Rollouts overview"/>
    <hyperlink ref="D280" r:id="rId263" display="1.1. Why use Argo Rollouts?"/>
    <hyperlink ref="E281" r:id="rId264" display="1.1.1. Benefits of Argo Rollouts"/>
    <hyperlink ref="D282" r:id="rId265" display="1.2. About RolloutManager custom resources and specification"/>
    <hyperlink ref="E283" r:id="rId266" display="1.2.1. Argo Rollouts controller"/>
    <hyperlink ref="D284" r:id="rId267" display="1.3. Argo Rollouts architecture overview"/>
    <hyperlink ref="E285" r:id="rId268" display="1.3.1. Argo Rollouts components"/>
    <hyperlink ref="E286" r:id="rId269" display="1.3.2. Argo Rollouts resources"/>
    <hyperlink ref="D287" r:id="rId270" display="1.4. Argo Rollouts CLI overview"/>
    <hyperlink ref="D288" r:id="rId271" display="1.5. Additional resources"/>
    <hyperlink ref="C289" r:id="rId272" display="Chapter 2. Using Argo Rollouts for progressive deployment delivery"/>
    <hyperlink ref="D290" r:id="rId273" display="2.1. Prerequisites"/>
    <hyperlink ref="D291" r:id="rId274" display="2.2. Creating a RolloutManager custom resource"/>
    <hyperlink ref="D292" r:id="rId275" display="2.3. Deleting a RolloutManager custom resource"/>
    <hyperlink ref="D293" r:id="rId276" display="2.4. Installing Argo Rollouts CLI on Linux"/>
    <hyperlink ref="D294" r:id="rId277" display="2.5. Installing Argo Rollouts CLI on Mac OS"/>
    <hyperlink ref="D295" r:id="rId278" display="2.6. Enabling Argo Rollouts UI on an Argo CD instance"/>
    <hyperlink ref="D296" r:id="rId279" display="2.7. Additional resources"/>
    <hyperlink ref="C297" r:id="rId280" display="Chapter 3. Getting started with Argo Rollouts"/>
    <hyperlink ref="D298" r:id="rId281" display="3.1. Prerequisites"/>
    <hyperlink ref="D299" r:id="rId282" display="3.2. Deploying a rollout"/>
    <hyperlink ref="D300" r:id="rId283" display="3.3. Updating the rollout"/>
    <hyperlink ref="D301" r:id="rId284" display="3.4. Promoting the rollout"/>
    <hyperlink ref="D302" r:id="rId285" display="3.5. Manually aborting the rollout"/>
    <hyperlink ref="D303" r:id="rId286" display="3.6. Additional resources"/>
    <hyperlink ref="C304" r:id="rId287" display="Chapter 4. Routing traffic by using Argo Rollouts"/>
    <hyperlink ref="D305" r:id="rId288" display="4.1. Prerequisites"/>
    <hyperlink ref="D306" r:id="rId289" display="4.2. Configuring Argo Rollouts to route traffic by using OpenShift Routes"/>
    <hyperlink ref="D307" r:id="rId290" display="4.3. Additional resources"/>
    <hyperlink ref="C308" r:id="rId291" display="Chapter 5. Routing traffic by using Argo Rollouts for OpenShift Service Mesh"/>
    <hyperlink ref="E309" r:id="rId292" location="sample-deployment-scenario" display="Sample deployment scenario"/>
    <hyperlink ref="D310" r:id="rId293" display="5.1. Configuring Argo Rollouts to route traffic by using OpenShift Service Mesh"/>
    <hyperlink ref="C311" r:id="rId294" display="Chapter 6. Enabling support for a namespace-scoped Argo Rollouts installation"/>
    <hyperlink ref="D312" r:id="rId295" display="6.1. Configuring a namespace-scoped Argo Rollouts installation"/>
    <hyperlink ref="C313" r:id="rId296" display="Chapter 7. Configuring traffic management and metric plugins in Argo Rollouts"/>
    <hyperlink ref="D314" r:id="rId297" display="7.1. Prerequisites"/>
    <hyperlink ref="D315" r:id="rId298" display="7.2. Enabling traffic management and metric plugins in Argo Rollouts"/>
    <hyperlink ref="D316" r:id="rId299" display="7.3. Additional resources"/>
    <hyperlink ref="C317" r:id="rId300" display="Chapter 8. Enabling high availability support for Argo Rollouts"/>
    <hyperlink ref="D318" r:id="rId301" display="8.1. Configuring high availability for Argo Rollouts"/>
    <hyperlink ref="C319" r:id="rId302" display="Chapter 9. Using a cluster-scoped Argo Rollouts instance to manage rollout resources"/>
    <hyperlink ref="D320" r:id="rId303" display="9.1. Prerequisites"/>
    <hyperlink ref="D321" r:id="rId304" display="9.2. Configuring a cluster-scoped Argo Rollouts instance to manage rollout resources"/>
    <hyperlink ref="D322" r:id="rId305" display="9.3. Additional resources"/>
    <hyperlink ref="B324" r:id="rId306" display="Security"/>
    <hyperlink ref="C325" r:id="rId307" display="Using security features to configure secure communication and protect the possibly sensitive data in transit"/>
    <hyperlink ref="C326" r:id="rId308" display="Chapter 1. Configuring secure communication with Redis"/>
    <hyperlink ref="D327" r:id="rId309" display="1.1. Prerequisites"/>
    <hyperlink ref="D328" r:id="rId310" display="1.2. Configuring TLS for Redis with autotls enabled"/>
    <hyperlink ref="D329" r:id="rId311" display="1.3. Configuring TLS for Redis with autotls disabled"/>
    <hyperlink ref="C330" r:id="rId312" display="Chapter 2. Managing secrets securely using Secrets Store CSI driver with GitOps"/>
    <hyperlink ref="D331" r:id="rId313" display="2.1. Overview of managing secrets using Secrets Store CSI driver with GitOps"/>
    <hyperlink ref="E332" r:id="rId314" display="2.1.1. Benefits"/>
    <hyperlink ref="D333" r:id="rId315" display="2.2. Secrets store providers"/>
    <hyperlink ref="D334" r:id="rId316" display="2.3. Configure AWS Secrets Manager on OpenShift with GitOps"/>
    <hyperlink ref="E335" r:id="rId317" display="2.3.1. Storing AWS Secrets Manager resources in GitOps repository"/>
    <hyperlink ref="E336" r:id="rId318" display="2.3.2. Configuring SSCSI driver to mount secrets from AWS Secrets Manager"/>
    <hyperlink ref="E337" r:id="rId319" display="2.3.3. Configuring GitOps managed resources to use mounted secrets"/>
    <hyperlink ref="D338" r:id="rId320" display="2.4. Configure HashiCorp Vault as a secrets provider on OpenShift with GitOps"/>
    <hyperlink ref="E339" r:id="rId321" display="2.4.1. Installing the Vault CSI Provider using GitOps"/>
    <hyperlink ref="E340" r:id="rId322" display="2.4.2. Initializing and configuring Vault to store a Secret"/>
    <hyperlink ref="E341" r:id="rId323" display="2.4.3. Managing Secrets, Policies, and Roles in Vault"/>
    <hyperlink ref="E342" r:id="rId324" display="2.4.4. Configuring GitOps managed resources to use Vault-mounted secrets"/>
    <hyperlink ref="E343" r:id="rId325" display="2.4.5. Verifying secret injection"/>
    <hyperlink ref="D344" r:id="rId326" display="2.5. Additional resources"/>
    <hyperlink ref="C345" r:id="rId327" display="Chapter 3. Masking sensitive annotations in the Argo CD Web UI"/>
    <hyperlink ref="D346" r:id="rId328" display="3.1. Enabling sensitive annotations masking in the Argo CD Web UI"/>
    <hyperlink ref="D347" r:id="rId329" display="3.2. Additional resources"/>
    <hyperlink ref="B349" r:id="rId330" display="GitOps CLI (argocd) reference"/>
    <hyperlink ref="C350" r:id="rId331" display="Configuring the GitOps CLI and logging in to the Argo CD server in the default mode"/>
    <hyperlink ref="C351" r:id="rId332" display="Chapter 1. Configuring the GitOps CLI"/>
    <hyperlink ref="D352" r:id="rId333" display="1.1. Enabling tab completion"/>
    <hyperlink ref="D353" r:id="rId334" display="1.2. Additional resources"/>
    <hyperlink ref="C354" r:id="rId335" display="Chapter 2. Logging in to the Argo CD server in the default mode"/>
    <hyperlink ref="D355" r:id="rId336" display="2.1. Logging in to the Argo CD server"/>
    <hyperlink ref="D356" r:id="rId337" display="2.2. Additional resources"/>
    <hyperlink ref="C357" r:id="rId338" display="Chapter 3. GitOps argocd CLI reference"/>
    <hyperlink ref="D358" r:id="rId339" display="3.1. Basic syntax"/>
    <hyperlink ref="E359" r:id="rId340" display="3.1.1. Default mode"/>
    <hyperlink ref="E360" r:id="rId341" display="3.1.2. Core mode"/>
    <hyperlink ref="D361" r:id="rId342" display="3.2. Global options"/>
    <hyperlink ref="D362" r:id="rId343" display="3.3. Utility commands"/>
    <hyperlink ref="E363" r:id="rId344" display="3.3.1. argocd"/>
    <hyperlink ref="E364" r:id="rId345" display="3.3.2. version"/>
    <hyperlink ref="E365" r:id="rId346" display="3.3.3. help"/>
    <hyperlink ref="E366" r:id="rId347" display="3.3.4. completion"/>
    <hyperlink ref="D367" r:id="rId348" display="3.4. Additional resources"/>
    <hyperlink ref="B369" r:id="rId349" display="GitOps workloads on infrastructure nodes"/>
    <hyperlink ref="C370" r:id="rId350" display="Running GitOps control plane workloads on infrastructure nodes"/>
    <hyperlink ref="C371" r:id="rId351" display="Chapter 1. Running GitOps control plane workloads on infrastructure nodes"/>
    <hyperlink ref="D372" r:id="rId352" display="1.1. Moving GitOps control plane workloads to infrastructure nodes"/>
    <hyperlink ref="D373" r:id="rId353" display="1.2. Moving the GitOps Operator pod to infrastructure nodes"/>
    <hyperlink ref="D374" r:id="rId354" display="1.3. Additional resources"/>
    <hyperlink ref="B376" r:id="rId355" display="Observability"/>
    <hyperlink ref="C377" r:id="rId356" display="Using observability features to view Argo CD logs and monitor the performance and health of Argo CD and application resources"/>
    <hyperlink ref="C378" r:id="rId357" display="Chapter 1. Logging"/>
    <hyperlink ref="D379" r:id="rId358" display="1.1. Viewing Argo CD logs"/>
    <hyperlink ref="E380" r:id="rId359" display="1.1.1. Storing and retrieving Argo CD logs"/>
    <hyperlink ref="E381" r:id="rId360" display="1.1.2. Additional resources"/>
    <hyperlink ref="C382" r:id="rId361" display="Chapter 2. Monitoring"/>
    <hyperlink ref="D383" r:id="rId362" display="2.1. Monitoring with GitOps dashboards"/>
    <hyperlink ref="E384" r:id="rId363" display="2.1.1. Accessing GitOps monitoring dashboards"/>
    <hyperlink ref="D385" r:id="rId364" display="2.2. Monitoring Argo CD instances"/>
    <hyperlink ref="E386" r:id="rId365" display="2.2.1. Prerequisites"/>
    <hyperlink ref="E387" r:id="rId366" display="2.2.2. Monitoring Argo CD health using Prometheus metrics"/>
    <hyperlink ref="E388" r:id="rId367" display="2.2.3. Disabling automatic scraping of metrics for Argo CD instances"/>
    <hyperlink ref="E389" r:id="rId368" display="2.2.4. Additional resources"/>
    <hyperlink ref="D390" r:id="rId369" display="2.3. Monitoring the GitOps Operator performance"/>
    <hyperlink ref="E391" r:id="rId370" display="2.3.1. Accessing the GitOps Operator metrics"/>
    <hyperlink ref="E392" r:id="rId371" display="2.3.2. Additional resources"/>
    <hyperlink ref="D393" r:id="rId372" display="2.4. Monitoring health information for application resources and deployments"/>
    <hyperlink ref="E394" r:id="rId373" display="2.4.1. Settings for environment labels and annotations"/>
    <hyperlink ref="F395" r:id="rId374" location="environment-labels" display="Environment labels"/>
    <hyperlink ref="F396" r:id="rId375" location="environment-annotations" display="Environment annotations"/>
    <hyperlink ref="E397" r:id="rId376" display="2.4.2. Checking health information"/>
    <hyperlink ref="D398" r:id="rId377" display="2.5. Monitoring Argo CD custom resource workloads"/>
    <hyperlink ref="E399" r:id="rId378" display="2.5.1. Prerequisites"/>
    <hyperlink ref="E400" r:id="rId379" display="2.5.2. Enabling Monitoring for Argo CD custom resource workloads"/>
    <hyperlink ref="E401" r:id="rId380" display="2.5.3. Disabling Monitoring for Argo CD custom resource workloads"/>
    <hyperlink ref="E402" r:id="rId381" display="2.5.4. Additional resources"/>
    <hyperlink ref="B404" r:id="rId382" display="Troubleshooting issues"/>
    <hyperlink ref="C405" r:id="rId383" display="Troubleshooting topics for OpenShift GitOps and your cluster"/>
    <hyperlink ref="C406" r:id="rId384" display="Chapter 1. Issue: Auto-reboot during Argo CD sync with machine configurations"/>
    <hyperlink ref="D407" r:id="rId385" display="1.1. Solution: Enhance performance in machine configurations and Argo CD"/>
    <hyperlink ref="D408" r:id="rId386" display="1.2. Additional resource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125"/>
  <sheetViews>
    <sheetView showFormulas="false" showGridLines="true" showRowColHeaders="true" showZeros="true" rightToLeft="false" tabSelected="true" showOutlineSymbols="true" defaultGridColor="true" view="normal" topLeftCell="A23" colorId="64" zoomScale="110" zoomScaleNormal="110" zoomScalePageLayoutView="100" workbookViewId="0">
      <selection pane="topLeft" activeCell="B15" activeCellId="0" sqref="B15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40"/>
    <col collapsed="false" customWidth="true" hidden="false" outlineLevel="0" max="3" min="3" style="0" width="35"/>
    <col collapsed="false" customWidth="true" hidden="false" outlineLevel="0" max="4" min="4" style="0" width="30"/>
    <col collapsed="false" customWidth="true" hidden="false" outlineLevel="0" max="5" min="5" style="0" width="25"/>
    <col collapsed="false" customWidth="true" hidden="false" outlineLevel="0" max="7" min="6" style="0" width="45"/>
    <col collapsed="false" customWidth="true" hidden="false" outlineLevel="0" max="8" min="8" style="0" width="40"/>
    <col collapsed="false" customWidth="true" hidden="false" outlineLevel="0" max="9" min="9" style="0" width="35"/>
  </cols>
  <sheetData>
    <row r="1" customFormat="false" ht="75" hidden="false" customHeight="true" outlineLevel="0" collapsed="false">
      <c r="A1" s="8" t="s">
        <v>388</v>
      </c>
      <c r="B1" s="8"/>
      <c r="C1" s="8"/>
      <c r="D1" s="8"/>
      <c r="E1" s="8"/>
      <c r="F1" s="8"/>
      <c r="G1" s="8"/>
      <c r="H1" s="8"/>
      <c r="I1" s="8"/>
    </row>
    <row r="2" customFormat="false" ht="15" hidden="false" customHeight="true" outlineLevel="0" collapsed="false"/>
    <row r="3" customFormat="false" ht="19.5" hidden="false" customHeight="true" outlineLevel="0" collapsed="false">
      <c r="A3" s="9" t="s">
        <v>389</v>
      </c>
      <c r="B3" s="9"/>
      <c r="E3" s="9" t="s">
        <v>390</v>
      </c>
      <c r="F3" s="9"/>
      <c r="G3" s="9"/>
      <c r="H3" s="9"/>
      <c r="I3" s="9"/>
    </row>
    <row r="4" customFormat="false" ht="30" hidden="false" customHeight="true" outlineLevel="0" collapsed="false">
      <c r="A4" s="10" t="s">
        <v>391</v>
      </c>
      <c r="B4" s="10" t="s">
        <v>392</v>
      </c>
      <c r="C4" s="10" t="s">
        <v>393</v>
      </c>
      <c r="D4" s="10" t="s">
        <v>394</v>
      </c>
      <c r="E4" s="10" t="s">
        <v>2</v>
      </c>
      <c r="F4" s="10" t="s">
        <v>3</v>
      </c>
      <c r="G4" s="10" t="s">
        <v>4</v>
      </c>
      <c r="H4" s="10" t="s">
        <v>5</v>
      </c>
      <c r="I4" s="10" t="s">
        <v>6</v>
      </c>
    </row>
    <row r="5" customFormat="false" ht="15.75" hidden="false" customHeight="false" outlineLevel="0" collapsed="false">
      <c r="A5" s="11" t="s">
        <v>395</v>
      </c>
      <c r="B5" s="12"/>
      <c r="C5" s="12"/>
      <c r="D5" s="12"/>
      <c r="E5" s="12"/>
      <c r="F5" s="12"/>
      <c r="G5" s="12"/>
      <c r="H5" s="12"/>
      <c r="I5" s="12"/>
    </row>
    <row r="6" customFormat="false" ht="15.75" hidden="false" customHeight="false" outlineLevel="0" collapsed="false">
      <c r="A6" s="12"/>
      <c r="B6" s="13" t="s">
        <v>396</v>
      </c>
      <c r="C6" s="12"/>
      <c r="D6" s="12"/>
      <c r="E6" s="12"/>
      <c r="F6" s="12"/>
      <c r="G6" s="12"/>
      <c r="H6" s="12"/>
      <c r="I6" s="12"/>
    </row>
    <row r="7" customFormat="false" ht="57.45" hidden="false" customHeight="false" outlineLevel="0" collapsed="false">
      <c r="A7" s="12"/>
      <c r="B7" s="12"/>
      <c r="C7" s="12" t="s">
        <v>397</v>
      </c>
      <c r="D7" s="12"/>
      <c r="E7" s="12"/>
      <c r="F7" s="12"/>
      <c r="G7" s="12"/>
      <c r="H7" s="12"/>
      <c r="I7" s="12"/>
    </row>
    <row r="8" customFormat="false" ht="46.25" hidden="false" customHeight="false" outlineLevel="0" collapsed="false">
      <c r="A8" s="12"/>
      <c r="B8" s="12"/>
      <c r="C8" s="12" t="s">
        <v>398</v>
      </c>
      <c r="D8" s="12"/>
      <c r="E8" s="12"/>
      <c r="F8" s="12"/>
      <c r="G8" s="12"/>
      <c r="H8" s="12"/>
      <c r="I8" s="12"/>
    </row>
    <row r="9" customFormat="false" ht="46.25" hidden="false" customHeight="false" outlineLevel="0" collapsed="false">
      <c r="A9" s="12"/>
      <c r="B9" s="12"/>
      <c r="C9" s="12" t="s">
        <v>399</v>
      </c>
      <c r="D9" s="12"/>
      <c r="E9" s="12"/>
      <c r="F9" s="12"/>
      <c r="G9" s="12"/>
      <c r="H9" s="12"/>
      <c r="I9" s="12"/>
    </row>
    <row r="10" customFormat="false" ht="57.45" hidden="false" customHeight="false" outlineLevel="0" collapsed="false">
      <c r="A10" s="12"/>
      <c r="B10" s="12"/>
      <c r="C10" s="12" t="s">
        <v>400</v>
      </c>
      <c r="D10" s="12"/>
      <c r="E10" s="12"/>
      <c r="F10" s="12"/>
      <c r="G10" s="12"/>
      <c r="H10" s="12"/>
      <c r="I10" s="12"/>
    </row>
    <row r="11" customFormat="false" ht="46.25" hidden="false" customHeight="false" outlineLevel="0" collapsed="false">
      <c r="A11" s="12"/>
      <c r="B11" s="12"/>
      <c r="C11" s="12" t="s">
        <v>401</v>
      </c>
      <c r="D11" s="12"/>
      <c r="E11" s="12"/>
      <c r="F11" s="12"/>
      <c r="G11" s="12"/>
      <c r="H11" s="12"/>
      <c r="I11" s="12"/>
    </row>
    <row r="12" customFormat="false" ht="15.75" hidden="false" customHeight="false" outlineLevel="0" collapsed="false">
      <c r="A12" s="12"/>
      <c r="B12" s="12"/>
      <c r="C12" s="12"/>
      <c r="D12" s="12"/>
      <c r="E12" s="12"/>
      <c r="F12" s="12"/>
      <c r="G12" s="12"/>
      <c r="H12" s="12"/>
      <c r="I12" s="12"/>
    </row>
    <row r="13" customFormat="false" ht="15.75" hidden="false" customHeight="false" outlineLevel="0" collapsed="false">
      <c r="A13" s="11" t="s">
        <v>51</v>
      </c>
      <c r="B13" s="12"/>
      <c r="C13" s="12"/>
      <c r="D13" s="12"/>
      <c r="E13" s="12"/>
      <c r="F13" s="12"/>
      <c r="G13" s="12"/>
      <c r="H13" s="12"/>
      <c r="I13" s="12"/>
    </row>
    <row r="14" customFormat="false" ht="15.75" hidden="false" customHeight="false" outlineLevel="0" collapsed="false">
      <c r="A14" s="12"/>
      <c r="B14" s="13" t="s">
        <v>402</v>
      </c>
      <c r="C14" s="12"/>
      <c r="D14" s="12"/>
      <c r="E14" s="12"/>
      <c r="F14" s="12"/>
      <c r="G14" s="12"/>
      <c r="H14" s="12"/>
      <c r="I14" s="12"/>
    </row>
    <row r="15" customFormat="false" ht="23.85" hidden="false" customHeight="false" outlineLevel="0" collapsed="false">
      <c r="A15" s="12"/>
      <c r="B15" s="13" t="s">
        <v>403</v>
      </c>
      <c r="C15" s="12"/>
      <c r="D15" s="12"/>
      <c r="E15" s="12"/>
      <c r="F15" s="12" t="str">
        <f aca="false">HYPERLINK("https://docs.redhat.com/en/documentation/red_hat_openshift_gitops/1.20/html-single/installing_gitops","Installing the OpenShift GitOps Operator, logging in to the Argo CD instance, and installing the GitOps CLI")</f>
        <v>Installing the OpenShift GitOps Operator, logging in to the Argo CD instance, and installing the GitOps CLI</v>
      </c>
      <c r="G15" s="12"/>
      <c r="H15" s="12"/>
      <c r="I15" s="12"/>
    </row>
    <row r="16" customFormat="false" ht="23.85" hidden="false" customHeight="false" outlineLevel="0" collapsed="false">
      <c r="A16" s="12"/>
      <c r="B16" s="13" t="s">
        <v>404</v>
      </c>
      <c r="C16" s="12"/>
      <c r="D16" s="12"/>
      <c r="E16" s="12"/>
      <c r="F16" s="12" t="str">
        <f aca="false">HYPERLINK("https://docs.redhat.com/en/documentation/red_hat_openshift_gitops/1.20/html-single/installing_gitops","Installing the OpenShift GitOps Operator, logging in to the Argo CD instance, and installing the GitOps CLI")</f>
        <v>Installing the OpenShift GitOps Operator, logging in to the Argo CD instance, and installing the GitOps CLI</v>
      </c>
      <c r="G16" s="12"/>
      <c r="H16" s="12"/>
      <c r="I16" s="12"/>
    </row>
    <row r="17" customFormat="false" ht="23.85" hidden="false" customHeight="false" outlineLevel="0" collapsed="false">
      <c r="A17" s="12"/>
      <c r="B17" s="13" t="s">
        <v>405</v>
      </c>
      <c r="C17" s="12"/>
      <c r="D17" s="12"/>
      <c r="E17" s="12"/>
      <c r="F17" s="12" t="str">
        <f aca="false">HYPERLINK("https://docs.redhat.com/en/documentation/red_hat_openshift_gitops/1.20/html-single/installing_gitops","Installing the OpenShift GitOps Operator, logging in to the Argo CD instance, and installing the GitOps CLI")</f>
        <v>Installing the OpenShift GitOps Operator, logging in to the Argo CD instance, and installing the GitOps CLI</v>
      </c>
      <c r="G17" s="12"/>
      <c r="H17" s="12"/>
      <c r="I17" s="12"/>
    </row>
    <row r="18" customFormat="false" ht="23.85" hidden="false" customHeight="false" outlineLevel="0" collapsed="false">
      <c r="A18" s="12"/>
      <c r="B18" s="13" t="s">
        <v>406</v>
      </c>
      <c r="C18" s="12"/>
      <c r="D18" s="12"/>
      <c r="E18" s="12"/>
      <c r="F18" s="12" t="str">
        <f aca="false">HYPERLINK("https://docs.redhat.com/en/documentation/red_hat_openshift_gitops/1.20/html-single/installing_gitops","Installing the OpenShift GitOps Operator, logging in to the Argo CD instance, and installing the GitOps CLI")</f>
        <v>Installing the OpenShift GitOps Operator, logging in to the Argo CD instance, and installing the GitOps CLI</v>
      </c>
      <c r="G18" s="12"/>
      <c r="H18" s="12"/>
      <c r="I18" s="12"/>
    </row>
    <row r="19" customFormat="false" ht="15.75" hidden="false" customHeight="false" outlineLevel="0" collapsed="false">
      <c r="A19" s="12"/>
      <c r="B19" s="13" t="s">
        <v>407</v>
      </c>
      <c r="C19" s="12"/>
      <c r="D19" s="12"/>
      <c r="E19" s="12"/>
      <c r="F19" s="12"/>
      <c r="G19" s="12"/>
      <c r="H19" s="12"/>
      <c r="I19" s="12"/>
    </row>
    <row r="20" customFormat="false" ht="15.75" hidden="false" customHeight="false" outlineLevel="0" collapsed="false">
      <c r="A20" s="12"/>
      <c r="B20" s="13" t="s">
        <v>408</v>
      </c>
      <c r="C20" s="12"/>
      <c r="D20" s="12"/>
      <c r="E20" s="12"/>
      <c r="F20" s="12"/>
      <c r="G20" s="12"/>
      <c r="H20" s="12"/>
      <c r="I20" s="12"/>
    </row>
    <row r="21" customFormat="false" ht="64.9" hidden="false" customHeight="false" outlineLevel="0" collapsed="false">
      <c r="A21" s="12"/>
      <c r="B21" s="13" t="s">
        <v>409</v>
      </c>
      <c r="C21" s="12"/>
      <c r="D21" s="12"/>
      <c r="E21" s="12"/>
      <c r="F21" s="12" t="str">
        <f aca="false">HYPERLINK("https://docs.redhat.com/en/documentation/red_hat_openshift_gitops/1.20/html-single/managing_resource_use","Chapter 1. Configuring resource quota or requests")</f>
        <v>Chapter 1. Configuring resource quota or requests</v>
      </c>
      <c r="G21" s="12"/>
      <c r="H21" s="12"/>
      <c r="I21" s="12"/>
    </row>
    <row r="22" customFormat="false" ht="46.25" hidden="false" customHeight="false" outlineLevel="0" collapsed="false">
      <c r="A22" s="12"/>
      <c r="B22" s="12"/>
      <c r="C22" s="12" t="s">
        <v>410</v>
      </c>
      <c r="D22" s="12"/>
      <c r="E22" s="12"/>
      <c r="F22" s="12"/>
      <c r="G22" s="12"/>
      <c r="H22" s="12"/>
      <c r="I22" s="12"/>
    </row>
    <row r="23" customFormat="false" ht="46.25" hidden="false" customHeight="false" outlineLevel="0" collapsed="false">
      <c r="A23" s="12"/>
      <c r="B23" s="12"/>
      <c r="C23" s="12" t="s">
        <v>411</v>
      </c>
      <c r="D23" s="12"/>
      <c r="E23" s="12"/>
      <c r="F23" s="12"/>
      <c r="G23" s="12"/>
      <c r="H23" s="12"/>
      <c r="I23" s="12"/>
    </row>
    <row r="24" customFormat="false" ht="46.25" hidden="false" customHeight="false" outlineLevel="0" collapsed="false">
      <c r="A24" s="12"/>
      <c r="B24" s="12"/>
      <c r="C24" s="12" t="s">
        <v>412</v>
      </c>
      <c r="D24" s="12"/>
      <c r="E24" s="12"/>
      <c r="F24" s="12"/>
      <c r="G24" s="12"/>
      <c r="H24" s="12"/>
      <c r="I24" s="12"/>
    </row>
    <row r="25" customFormat="false" ht="46.25" hidden="false" customHeight="false" outlineLevel="0" collapsed="false">
      <c r="A25" s="12"/>
      <c r="B25" s="12"/>
      <c r="C25" s="12" t="s">
        <v>413</v>
      </c>
      <c r="D25" s="12"/>
      <c r="E25" s="12"/>
      <c r="F25" s="12"/>
      <c r="G25" s="12"/>
      <c r="H25" s="12"/>
      <c r="I25" s="12"/>
    </row>
    <row r="26" customFormat="false" ht="35.05" hidden="false" customHeight="false" outlineLevel="0" collapsed="false">
      <c r="A26" s="12"/>
      <c r="B26" s="12"/>
      <c r="C26" s="12" t="s">
        <v>414</v>
      </c>
      <c r="D26" s="12"/>
      <c r="E26" s="12"/>
      <c r="F26" s="12"/>
      <c r="G26" s="12"/>
      <c r="H26" s="12"/>
      <c r="I26" s="12"/>
    </row>
    <row r="27" customFormat="false" ht="35.05" hidden="false" customHeight="false" outlineLevel="0" collapsed="false">
      <c r="A27" s="12"/>
      <c r="B27" s="12"/>
      <c r="C27" s="12" t="s">
        <v>415</v>
      </c>
      <c r="D27" s="12"/>
      <c r="E27" s="12"/>
      <c r="F27" s="12"/>
      <c r="G27" s="12"/>
      <c r="H27" s="12"/>
      <c r="I27" s="12"/>
    </row>
    <row r="28" customFormat="false" ht="35.05" hidden="false" customHeight="false" outlineLevel="0" collapsed="false">
      <c r="A28" s="12"/>
      <c r="B28" s="12"/>
      <c r="C28" s="12" t="s">
        <v>416</v>
      </c>
      <c r="D28" s="12"/>
      <c r="E28" s="12"/>
      <c r="F28" s="12"/>
      <c r="G28" s="12"/>
      <c r="H28" s="12"/>
      <c r="I28" s="12"/>
    </row>
    <row r="29" customFormat="false" ht="46.25" hidden="false" customHeight="false" outlineLevel="0" collapsed="false">
      <c r="A29" s="12"/>
      <c r="B29" s="12"/>
      <c r="C29" s="12" t="s">
        <v>417</v>
      </c>
      <c r="D29" s="12"/>
      <c r="E29" s="12"/>
      <c r="F29" s="12"/>
      <c r="G29" s="12"/>
      <c r="H29" s="12"/>
      <c r="I29" s="12"/>
    </row>
    <row r="30" customFormat="false" ht="57.45" hidden="false" customHeight="false" outlineLevel="0" collapsed="false">
      <c r="A30" s="12"/>
      <c r="B30" s="12"/>
      <c r="C30" s="12" t="s">
        <v>418</v>
      </c>
      <c r="D30" s="12"/>
      <c r="E30" s="12"/>
      <c r="F30" s="12"/>
      <c r="G30" s="12"/>
      <c r="H30" s="12"/>
      <c r="I30" s="12"/>
    </row>
    <row r="31" customFormat="false" ht="46.25" hidden="false" customHeight="false" outlineLevel="0" collapsed="false">
      <c r="A31" s="12"/>
      <c r="B31" s="12"/>
      <c r="C31" s="12" t="s">
        <v>419</v>
      </c>
      <c r="D31" s="12"/>
      <c r="E31" s="12"/>
      <c r="F31" s="12"/>
      <c r="G31" s="12"/>
      <c r="H31" s="12"/>
      <c r="I31" s="12"/>
    </row>
    <row r="32" customFormat="false" ht="46.25" hidden="false" customHeight="false" outlineLevel="0" collapsed="false">
      <c r="A32" s="12"/>
      <c r="B32" s="12"/>
      <c r="C32" s="12" t="s">
        <v>420</v>
      </c>
      <c r="D32" s="12"/>
      <c r="E32" s="12"/>
      <c r="F32" s="12"/>
      <c r="G32" s="12"/>
      <c r="H32" s="12"/>
      <c r="I32" s="12"/>
    </row>
    <row r="33" customFormat="false" ht="35.05" hidden="false" customHeight="false" outlineLevel="0" collapsed="false">
      <c r="A33" s="12"/>
      <c r="B33" s="12"/>
      <c r="C33" s="12" t="s">
        <v>421</v>
      </c>
      <c r="D33" s="12"/>
      <c r="E33" s="12"/>
      <c r="F33" s="12"/>
      <c r="G33" s="12"/>
      <c r="H33" s="12"/>
      <c r="I33" s="12"/>
    </row>
    <row r="34" customFormat="false" ht="46.25" hidden="false" customHeight="false" outlineLevel="0" collapsed="false">
      <c r="A34" s="12"/>
      <c r="B34" s="12"/>
      <c r="C34" s="12" t="s">
        <v>422</v>
      </c>
      <c r="D34" s="12"/>
      <c r="E34" s="12"/>
      <c r="F34" s="12"/>
      <c r="G34" s="12"/>
      <c r="H34" s="12"/>
      <c r="I34" s="12"/>
    </row>
    <row r="35" customFormat="false" ht="15.75" hidden="false" customHeight="false" outlineLevel="0" collapsed="false">
      <c r="A35" s="12"/>
      <c r="B35" s="12"/>
      <c r="C35" s="12"/>
      <c r="D35" s="12"/>
      <c r="E35" s="12"/>
      <c r="F35" s="12"/>
      <c r="G35" s="12"/>
      <c r="H35" s="12"/>
      <c r="I35" s="12"/>
    </row>
    <row r="36" customFormat="false" ht="15.75" hidden="false" customHeight="false" outlineLevel="0" collapsed="false">
      <c r="A36" s="11" t="s">
        <v>423</v>
      </c>
      <c r="B36" s="12"/>
      <c r="C36" s="12"/>
      <c r="D36" s="12"/>
      <c r="E36" s="12"/>
      <c r="F36" s="12"/>
      <c r="G36" s="12"/>
      <c r="H36" s="12"/>
      <c r="I36" s="12"/>
    </row>
    <row r="37" customFormat="false" ht="77.6" hidden="false" customHeight="false" outlineLevel="0" collapsed="false">
      <c r="A37" s="12"/>
      <c r="B37" s="13" t="s">
        <v>424</v>
      </c>
      <c r="C37" s="12"/>
      <c r="D37" s="12"/>
      <c r="E37" s="12"/>
      <c r="F37" s="12" t="str">
        <f aca="false">HYPERLINK("https://docs.redhat.com/en/documentation/red_hat_openshift_gitops/1.20/html-single/managing_resource_use","Chapter 2. Configure resource requests and limits for GitOps plugin components")</f>
        <v>Chapter 2. Configure resource requests and limits for GitOps plugin components</v>
      </c>
      <c r="G37" s="12"/>
      <c r="H37" s="12"/>
      <c r="I37" s="12"/>
    </row>
    <row r="38" customFormat="false" ht="57.45" hidden="false" customHeight="false" outlineLevel="0" collapsed="false">
      <c r="A38" s="12"/>
      <c r="B38" s="12"/>
      <c r="C38" s="12" t="s">
        <v>425</v>
      </c>
      <c r="D38" s="12"/>
      <c r="E38" s="12"/>
      <c r="F38" s="12"/>
      <c r="G38" s="12"/>
      <c r="H38" s="12"/>
      <c r="I38" s="12"/>
    </row>
    <row r="39" customFormat="false" ht="46.25" hidden="false" customHeight="false" outlineLevel="0" collapsed="false">
      <c r="A39" s="12"/>
      <c r="B39" s="12"/>
      <c r="C39" s="12" t="s">
        <v>426</v>
      </c>
      <c r="D39" s="12"/>
      <c r="E39" s="12"/>
      <c r="F39" s="12"/>
      <c r="G39" s="12"/>
      <c r="H39" s="12"/>
      <c r="I39" s="12"/>
    </row>
    <row r="40" customFormat="false" ht="15.75" hidden="false" customHeight="false" outlineLevel="0" collapsed="false">
      <c r="A40" s="12"/>
      <c r="B40" s="12"/>
      <c r="C40" s="12"/>
      <c r="D40" s="12"/>
      <c r="E40" s="12"/>
      <c r="F40" s="12"/>
      <c r="G40" s="12"/>
      <c r="H40" s="12"/>
      <c r="I40" s="12"/>
    </row>
    <row r="41" customFormat="false" ht="15.75" hidden="false" customHeight="false" outlineLevel="0" collapsed="false">
      <c r="A41" s="11" t="s">
        <v>427</v>
      </c>
      <c r="B41" s="12"/>
      <c r="C41" s="12"/>
      <c r="D41" s="12"/>
      <c r="E41" s="12"/>
      <c r="F41" s="12"/>
      <c r="G41" s="12"/>
      <c r="H41" s="12"/>
      <c r="I41" s="12"/>
    </row>
    <row r="42" customFormat="false" ht="46.25" hidden="false" customHeight="false" outlineLevel="0" collapsed="false">
      <c r="A42" s="12"/>
      <c r="B42" s="12"/>
      <c r="C42" s="12" t="s">
        <v>428</v>
      </c>
      <c r="D42" s="12"/>
      <c r="E42" s="12"/>
      <c r="F42" s="12"/>
      <c r="G42" s="12"/>
      <c r="H42" s="12"/>
      <c r="I42" s="12"/>
    </row>
    <row r="43" customFormat="false" ht="46.25" hidden="false" customHeight="false" outlineLevel="0" collapsed="false">
      <c r="A43" s="12"/>
      <c r="B43" s="12"/>
      <c r="C43" s="12" t="s">
        <v>429</v>
      </c>
      <c r="D43" s="12"/>
      <c r="E43" s="12"/>
      <c r="F43" s="12"/>
      <c r="G43" s="12"/>
      <c r="H43" s="12"/>
      <c r="I43" s="12"/>
    </row>
    <row r="44" customFormat="false" ht="46.25" hidden="false" customHeight="false" outlineLevel="0" collapsed="false">
      <c r="A44" s="12"/>
      <c r="B44" s="12"/>
      <c r="C44" s="12" t="s">
        <v>430</v>
      </c>
      <c r="D44" s="12"/>
      <c r="E44" s="12"/>
      <c r="F44" s="12"/>
      <c r="G44" s="12"/>
      <c r="H44" s="12"/>
      <c r="I44" s="12"/>
    </row>
    <row r="45" customFormat="false" ht="15.75" hidden="false" customHeight="false" outlineLevel="0" collapsed="false">
      <c r="A45" s="12"/>
      <c r="B45" s="12"/>
      <c r="C45" s="12"/>
      <c r="D45" s="12"/>
      <c r="E45" s="12"/>
      <c r="F45" s="12"/>
      <c r="G45" s="12"/>
      <c r="H45" s="12"/>
      <c r="I45" s="12"/>
    </row>
    <row r="46" customFormat="false" ht="15.75" hidden="false" customHeight="false" outlineLevel="0" collapsed="false">
      <c r="A46" s="11" t="s">
        <v>431</v>
      </c>
    </row>
    <row r="47" customFormat="false" ht="64.9" hidden="false" customHeight="false" outlineLevel="0" collapsed="false">
      <c r="B47" s="14" t="s">
        <v>432</v>
      </c>
      <c r="E47" s="12" t="str">
        <f aca="false">HYPERLINK("https://docs.redhat.com/en/documentation/red_hat_openshift_gitops/1.20/html-single/understanding_openshift_gitops","Understanding OpenShift GitOps")</f>
        <v>Understanding OpenShift GitOps</v>
      </c>
    </row>
    <row r="49" customFormat="false" ht="15.75" hidden="false" customHeight="false" outlineLevel="0" collapsed="false">
      <c r="A49" s="11" t="s">
        <v>433</v>
      </c>
    </row>
    <row r="50" customFormat="false" ht="64.9" hidden="false" customHeight="false" outlineLevel="0" collapsed="false">
      <c r="B50" s="14" t="s">
        <v>434</v>
      </c>
      <c r="E50" s="12" t="str">
        <f aca="false">HYPERLINK("https://docs.redhat.com/en/documentation/red_hat_openshift_gitops/1.20/html-single/release_notes","Release notes")</f>
        <v>Release notes</v>
      </c>
    </row>
    <row r="52" customFormat="false" ht="15.75" hidden="false" customHeight="false" outlineLevel="0" collapsed="false">
      <c r="A52" s="11" t="s">
        <v>435</v>
      </c>
    </row>
    <row r="53" customFormat="false" ht="52.2" hidden="false" customHeight="false" outlineLevel="0" collapsed="false">
      <c r="B53" s="14" t="s">
        <v>436</v>
      </c>
      <c r="E53" s="12" t="str">
        <f aca="false">HYPERLINK("https://docs.redhat.com/en/documentation/red_hat_openshift_gitops/1.20/html-single/understanding_openshift_gitops","Understanding OpenShift GitOps")</f>
        <v>Understanding OpenShift GitOps</v>
      </c>
    </row>
    <row r="55" customFormat="false" ht="15.75" hidden="false" customHeight="false" outlineLevel="0" collapsed="false">
      <c r="A55" s="11" t="s">
        <v>437</v>
      </c>
    </row>
    <row r="56" customFormat="false" ht="52.2" hidden="false" customHeight="false" outlineLevel="0" collapsed="false">
      <c r="B56" s="14" t="s">
        <v>438</v>
      </c>
    </row>
    <row r="57" customFormat="false" ht="52.2" hidden="false" customHeight="false" outlineLevel="0" collapsed="false">
      <c r="B57" s="14" t="s">
        <v>439</v>
      </c>
      <c r="E57" s="12" t="str">
        <f aca="false">HYPERLINK("https://docs.redhat.com/en/documentation/red_hat_openshift_gitops/1.20/html-single/argo_rollouts","Argo Rollouts")</f>
        <v>Argo Rollouts</v>
      </c>
    </row>
    <row r="59" customFormat="false" ht="15.75" hidden="false" customHeight="false" outlineLevel="0" collapsed="false">
      <c r="A59" s="11" t="s">
        <v>440</v>
      </c>
    </row>
    <row r="60" customFormat="false" ht="39.55" hidden="false" customHeight="false" outlineLevel="0" collapsed="false">
      <c r="B60" s="14" t="s">
        <v>441</v>
      </c>
      <c r="E60" s="12" t="str">
        <f aca="false">HYPERLINK("https://docs.redhat.com/en/documentation/red_hat_openshift_gitops/1.20/html-single/multitenancy","Multitenancy")</f>
        <v>Multitenancy</v>
      </c>
    </row>
    <row r="61" customFormat="false" ht="39.55" hidden="false" customHeight="false" outlineLevel="0" collapsed="false">
      <c r="B61" s="14" t="s">
        <v>442</v>
      </c>
      <c r="E61" s="12" t="str">
        <f aca="false">HYPERLINK("https://docs.redhat.com/en/documentation/red_hat_openshift_gitops/1.20/html-single/observability","Observability")</f>
        <v>Observability</v>
      </c>
    </row>
    <row r="63" customFormat="false" ht="15.75" hidden="false" customHeight="false" outlineLevel="0" collapsed="false">
      <c r="A63" s="11" t="s">
        <v>383</v>
      </c>
    </row>
    <row r="64" customFormat="false" ht="39.55" hidden="false" customHeight="false" outlineLevel="0" collapsed="false">
      <c r="B64" s="14" t="s">
        <v>443</v>
      </c>
    </row>
    <row r="65" customFormat="false" ht="39.55" hidden="false" customHeight="false" outlineLevel="0" collapsed="false">
      <c r="B65" s="14" t="s">
        <v>444</v>
      </c>
      <c r="E65" s="12" t="str">
        <f aca="false">HYPERLINK("https://docs.redhat.com/en/documentation/red_hat_openshift_gitops/1.20/html-single/understanding_openshift_gitops","Understanding OpenShift GitOps")</f>
        <v>Understanding OpenShift GitOps</v>
      </c>
      <c r="F65" s="12" t="str">
        <f aca="false">HYPERLINK("https://docs.redhat.com/en/documentation/red_hat_openshift_gitops/1.20/html-single/understanding_openshift_gitops","Chapter 3. Gathering diagnostic information for support")</f>
        <v>Chapter 3. Gathering diagnostic information for support</v>
      </c>
    </row>
    <row r="67" customFormat="false" ht="15.75" hidden="false" customHeight="false" outlineLevel="0" collapsed="false">
      <c r="A67" s="11" t="s">
        <v>445</v>
      </c>
    </row>
    <row r="68" customFormat="false" ht="52.2" hidden="false" customHeight="false" outlineLevel="0" collapsed="false">
      <c r="B68" s="14" t="s">
        <v>446</v>
      </c>
      <c r="E68" s="12" t="str">
        <f aca="false">HYPERLINK("https://docs.redhat.com/en/documentation/red_hat_openshift_gitops/1.20/html-single/argo_rollouts","Argo Rollouts")</f>
        <v>Argo Rollouts</v>
      </c>
    </row>
    <row r="70" customFormat="false" ht="15.75" hidden="false" customHeight="false" outlineLevel="0" collapsed="false">
      <c r="A70" s="11" t="s">
        <v>447</v>
      </c>
    </row>
    <row r="71" customFormat="false" ht="39.55" hidden="false" customHeight="false" outlineLevel="0" collapsed="false">
      <c r="B71" s="14" t="s">
        <v>448</v>
      </c>
      <c r="E71" s="12" t="str">
        <f aca="false">HYPERLINK("https://docs.redhat.com/en/documentation/red_hat_openshift_gitops/1.20/html-single/gitops_cli_argocd_reference","GitOps CLI (argocd) reference")</f>
        <v>GitOps CLI (argocd) reference</v>
      </c>
    </row>
    <row r="73" customFormat="false" ht="15.75" hidden="false" customHeight="false" outlineLevel="0" collapsed="false">
      <c r="A73" s="15" t="s">
        <v>449</v>
      </c>
      <c r="B73" s="15"/>
      <c r="C73" s="15"/>
      <c r="D73" s="15"/>
      <c r="E73" s="15"/>
      <c r="F73" s="15"/>
      <c r="G73" s="15"/>
      <c r="H73" s="15"/>
      <c r="I73" s="15"/>
    </row>
    <row r="75" customFormat="false" ht="15.75" hidden="false" customHeight="false" outlineLevel="0" collapsed="false">
      <c r="A75" s="16" t="s">
        <v>433</v>
      </c>
    </row>
    <row r="76" customFormat="false" ht="15.75" hidden="false" customHeight="false" outlineLevel="0" collapsed="false">
      <c r="E76" s="14" t="str">
        <f aca="false">HYPERLINK("https://docs.redhat.com/en/documentation/red_hat_openshift_gitops/1.20/html-single/release_notes","Release notes")</f>
        <v>Release notes</v>
      </c>
    </row>
    <row r="78" customFormat="false" ht="15.75" hidden="false" customHeight="false" outlineLevel="0" collapsed="false">
      <c r="A78" s="16" t="s">
        <v>431</v>
      </c>
    </row>
    <row r="79" customFormat="false" ht="26.85" hidden="false" customHeight="false" outlineLevel="0" collapsed="false">
      <c r="E79" s="14" t="str">
        <f aca="false">HYPERLINK("https://docs.redhat.com/en/documentation/red_hat_openshift_gitops/1.20/html-single/understanding_openshift_gitops","Understanding OpenShift GitOps")</f>
        <v>Understanding OpenShift GitOps</v>
      </c>
    </row>
    <row r="81" customFormat="false" ht="15.75" hidden="false" customHeight="false" outlineLevel="0" collapsed="false">
      <c r="A81" s="16" t="s">
        <v>440</v>
      </c>
    </row>
    <row r="82" customFormat="false" ht="26.85" hidden="false" customHeight="false" outlineLevel="0" collapsed="false">
      <c r="E82" s="14" t="str">
        <f aca="false">HYPERLINK("https://docs.redhat.com/en/documentation/red_hat_openshift_gitops/1.20/html-single/managing_cluster_configuration","Managing cluster configuration")</f>
        <v>Managing cluster configuration</v>
      </c>
    </row>
    <row r="84" customFormat="false" ht="15.75" hidden="false" customHeight="false" outlineLevel="0" collapsed="false">
      <c r="A84" s="16" t="s">
        <v>51</v>
      </c>
    </row>
    <row r="85" customFormat="false" ht="15.75" hidden="false" customHeight="false" outlineLevel="0" collapsed="false">
      <c r="E85" s="14" t="str">
        <f aca="false">HYPERLINK("https://docs.redhat.com/en/documentation/red_hat_openshift_gitops/1.20/html-single/installing_gitops","Installing GitOps")</f>
        <v>Installing GitOps</v>
      </c>
    </row>
    <row r="87" customFormat="false" ht="15.75" hidden="false" customHeight="false" outlineLevel="0" collapsed="false">
      <c r="E87" s="14" t="str">
        <f aca="false">HYPERLINK("https://docs.redhat.com/en/documentation/red_hat_openshift_gitops/1.20/html-single/removing_gitops","Removing GitOps")</f>
        <v>Removing GitOps</v>
      </c>
    </row>
    <row r="89" customFormat="false" ht="15.75" hidden="false" customHeight="false" outlineLevel="0" collapsed="false">
      <c r="A89" s="16" t="s">
        <v>423</v>
      </c>
    </row>
    <row r="90" customFormat="false" ht="15.75" hidden="false" customHeight="false" outlineLevel="0" collapsed="false">
      <c r="E90" s="14" t="str">
        <f aca="false">HYPERLINK("https://docs.redhat.com/en/documentation/red_hat_openshift_gitops/1.20/html-single/argo_cd_instance","Argo CD instance")</f>
        <v>Argo CD instance</v>
      </c>
    </row>
    <row r="92" customFormat="false" ht="15.75" hidden="false" customHeight="false" outlineLevel="0" collapsed="false">
      <c r="A92" s="16" t="s">
        <v>427</v>
      </c>
    </row>
    <row r="93" customFormat="false" ht="26.85" hidden="false" customHeight="false" outlineLevel="0" collapsed="false">
      <c r="E93" s="14" t="str">
        <f aca="false">HYPERLINK("https://docs.redhat.com/en/documentation/red_hat_openshift_gitops/1.20/html-single/access_control_and_user_management","Access control and user management")</f>
        <v>Access control and user management</v>
      </c>
    </row>
    <row r="95" customFormat="false" ht="15.75" hidden="false" customHeight="false" outlineLevel="0" collapsed="false">
      <c r="E95" s="14" t="str">
        <f aca="false">HYPERLINK("https://docs.redhat.com/en/documentation/red_hat_openshift_gitops/1.20/html-single/managing_resource_use","Managing resource use")</f>
        <v>Managing resource use</v>
      </c>
    </row>
    <row r="97" customFormat="false" ht="15.75" hidden="false" customHeight="false" outlineLevel="0" collapsed="false">
      <c r="A97" s="16" t="s">
        <v>437</v>
      </c>
    </row>
    <row r="98" customFormat="false" ht="15.75" hidden="false" customHeight="false" outlineLevel="0" collapsed="false">
      <c r="E98" s="14" t="str">
        <f aca="false">HYPERLINK("https://docs.redhat.com/en/documentation/red_hat_openshift_gitops/1.20/html-single/argo_cd_applications","Argo CD applications")</f>
        <v>Argo CD applications</v>
      </c>
    </row>
    <row r="100" customFormat="false" ht="15.75" hidden="false" customHeight="false" outlineLevel="0" collapsed="false">
      <c r="E100" s="14" t="str">
        <f aca="false">HYPERLINK("https://docs.redhat.com/en/documentation/red_hat_openshift_gitops/1.20/html-single/argo_cd_application_sets","Argo CD application sets")</f>
        <v>Argo CD application sets</v>
      </c>
    </row>
    <row r="102" customFormat="false" ht="15.75" hidden="false" customHeight="false" outlineLevel="0" collapsed="false">
      <c r="E102" s="14" t="str">
        <f aca="false">HYPERLINK("https://docs.redhat.com/en/documentation/red_hat_openshift_gitops/1.20/html-single/multitenancy","Multitenancy")</f>
        <v>Multitenancy</v>
      </c>
    </row>
    <row r="104" customFormat="false" ht="26.85" hidden="false" customHeight="false" outlineLevel="0" collapsed="false">
      <c r="E104" s="14" t="str">
        <f aca="false">HYPERLINK("https://docs.redhat.com/en/documentation/red_hat_openshift_gitops/1.20/html-single/declarative_cluster_configuration","Declarative cluster configuration")</f>
        <v>Declarative cluster configuration</v>
      </c>
    </row>
    <row r="106" customFormat="false" ht="15.75" hidden="false" customHeight="false" outlineLevel="0" collapsed="false">
      <c r="A106" s="16" t="s">
        <v>395</v>
      </c>
    </row>
    <row r="107" customFormat="false" ht="15.75" hidden="false" customHeight="false" outlineLevel="0" collapsed="false">
      <c r="E107" s="14" t="str">
        <f aca="false">HYPERLINK("https://docs.redhat.com/en/documentation/red_hat_openshift_gitops/1.20/html-single/argo_cd_agent_architecture","Argo CD Agent architecture")</f>
        <v>Argo CD Agent architecture</v>
      </c>
    </row>
    <row r="109" customFormat="false" ht="15.75" hidden="false" customHeight="false" outlineLevel="0" collapsed="false">
      <c r="E109" s="14" t="str">
        <f aca="false">HYPERLINK("https://docs.redhat.com/en/documentation/red_hat_openshift_gitops/1.20/html-single/argo_cd_agent_installation","Argo CD Agent installation")</f>
        <v>Argo CD Agent installation</v>
      </c>
    </row>
    <row r="111" customFormat="false" ht="15.75" hidden="false" customHeight="false" outlineLevel="0" collapsed="false">
      <c r="A111" s="16" t="s">
        <v>445</v>
      </c>
    </row>
    <row r="112" customFormat="false" ht="15.75" hidden="false" customHeight="false" outlineLevel="0" collapsed="false">
      <c r="E112" s="14" t="str">
        <f aca="false">HYPERLINK("https://docs.redhat.com/en/documentation/red_hat_openshift_gitops/1.20/html-single/argo_rollouts","Argo Rollouts")</f>
        <v>Argo Rollouts</v>
      </c>
    </row>
    <row r="114" customFormat="false" ht="15.75" hidden="false" customHeight="false" outlineLevel="0" collapsed="false">
      <c r="E114" s="14" t="str">
        <f aca="false">HYPERLINK("https://docs.redhat.com/en/documentation/red_hat_openshift_gitops/1.20/html-single/security","Security")</f>
        <v>Security</v>
      </c>
    </row>
    <row r="116" customFormat="false" ht="15.75" hidden="false" customHeight="false" outlineLevel="0" collapsed="false">
      <c r="A116" s="16" t="s">
        <v>447</v>
      </c>
    </row>
    <row r="117" customFormat="false" ht="26.85" hidden="false" customHeight="false" outlineLevel="0" collapsed="false">
      <c r="E117" s="14" t="str">
        <f aca="false">HYPERLINK("https://docs.redhat.com/en/documentation/red_hat_openshift_gitops/1.20/html-single/gitops_cli_argocd_reference","GitOps CLI (argocd) reference")</f>
        <v>GitOps CLI (argocd) reference</v>
      </c>
    </row>
    <row r="119" customFormat="false" ht="15.75" hidden="false" customHeight="false" outlineLevel="0" collapsed="false">
      <c r="A119" s="16" t="s">
        <v>450</v>
      </c>
    </row>
    <row r="120" customFormat="false" ht="26.85" hidden="false" customHeight="false" outlineLevel="0" collapsed="false">
      <c r="E120" s="14" t="str">
        <f aca="false">HYPERLINK("https://docs.redhat.com/en/documentation/red_hat_openshift_gitops/1.20/html-single/gitops_workloads_on_infrastructure_nodes","GitOps workloads on infrastructure nodes")</f>
        <v>GitOps workloads on infrastructure nodes</v>
      </c>
    </row>
    <row r="122" customFormat="false" ht="15.75" hidden="false" customHeight="false" outlineLevel="0" collapsed="false">
      <c r="E122" s="14" t="str">
        <f aca="false">HYPERLINK("https://docs.redhat.com/en/documentation/red_hat_openshift_gitops/1.20/html-single/observability","Observability")</f>
        <v>Observability</v>
      </c>
    </row>
    <row r="124" customFormat="false" ht="15.75" hidden="false" customHeight="false" outlineLevel="0" collapsed="false">
      <c r="A124" s="16" t="s">
        <v>383</v>
      </c>
    </row>
    <row r="125" customFormat="false" ht="15.75" hidden="false" customHeight="false" outlineLevel="0" collapsed="false">
      <c r="E125" s="14" t="str">
        <f aca="false">HYPERLINK("https://docs.redhat.com/en/documentation/red_hat_openshift_gitops/1.20/html-single/troubleshooting_issues","Troubleshooting issues")</f>
        <v>Troubleshooting issues</v>
      </c>
    </row>
  </sheetData>
  <mergeCells count="4">
    <mergeCell ref="A1:I1"/>
    <mergeCell ref="A3:B3"/>
    <mergeCell ref="E3:I3"/>
    <mergeCell ref="A73:I7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93</TotalTime>
  <Application>LibreOffice/26.2.3.2$Linux_X86_64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2026-05-14T05:59:30Z</dcterms:created>
  <dc:creator>openpyxl</dc:creator>
  <dc:description/>
  <dc:language>en-US</dc:language>
  <cp:lastModifiedBy/>
  <dcterms:modified xsi:type="dcterms:W3CDTF">2026-05-25T17:23:41Z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